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hp\Desktop\Resumes\JLL\"/>
    </mc:Choice>
  </mc:AlternateContent>
  <xr:revisionPtr revIDLastSave="0" documentId="13_ncr:1_{2E60243F-2C09-424A-AD00-16EA93BA1B9E}" xr6:coauthVersionLast="47" xr6:coauthVersionMax="47" xr10:uidLastSave="{00000000-0000-0000-0000-000000000000}"/>
  <bookViews>
    <workbookView xWindow="-110" yWindow="-110" windowWidth="19420" windowHeight="10420" activeTab="1" xr2:uid="{41D18820-FD7A-4053-81B7-660CA0B41AB2}"/>
  </bookViews>
  <sheets>
    <sheet name="Invoice Master" sheetId="1" r:id="rId1"/>
    <sheet name="Supplier" sheetId="3" r:id="rId2"/>
    <sheet name="MIS Report" sheetId="4" r:id="rId3"/>
    <sheet name="Pivot" sheetId="6" r:id="rId4"/>
    <sheet name="KPI Dashboard" sheetId="5" r:id="rId5"/>
  </sheets>
  <definedNames>
    <definedName name="_xlnm._FilterDatabase" localSheetId="0" hidden="1">'Invoice Master'!$A$1:$U$201</definedName>
    <definedName name="_xlnm._FilterDatabase" localSheetId="3" hidden="1">Pivot!$H$4:$I$7</definedName>
    <definedName name="Slicer_Approval_Status">#N/A</definedName>
    <definedName name="Slicer_Cost_Center">#N/A</definedName>
    <definedName name="Slicer_Site_Name">#N/A</definedName>
    <definedName name="Slicer_Vendor_Na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3" l="1"/>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C11" i="3"/>
  <c r="C12" i="3"/>
  <c r="C13" i="3"/>
  <c r="C14" i="3"/>
  <c r="D3" i="3"/>
  <c r="D4" i="3"/>
  <c r="D5" i="3"/>
  <c r="D6" i="3"/>
  <c r="D2" i="3"/>
  <c r="B3" i="4"/>
  <c r="B8" i="4"/>
  <c r="B4" i="4"/>
  <c r="B5" i="4"/>
  <c r="B13" i="4"/>
  <c r="D13" i="4" s="1"/>
  <c r="B12" i="4"/>
  <c r="D12" i="4" s="1"/>
  <c r="B2" i="4"/>
  <c r="D2" i="4" s="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 i="1"/>
  <c r="T10" i="1"/>
  <c r="T2" i="1"/>
  <c r="T34" i="1"/>
  <c r="T26" i="1"/>
  <c r="T20" i="1"/>
  <c r="T12" i="1"/>
  <c r="T4" i="1"/>
  <c r="T36" i="1"/>
  <c r="T28" i="1"/>
  <c r="T22" i="1"/>
  <c r="T14" i="1"/>
  <c r="T6" i="1"/>
  <c r="T38" i="1"/>
  <c r="T30" i="1"/>
  <c r="T23" i="1"/>
  <c r="T15" i="1"/>
  <c r="T7" i="1"/>
  <c r="T39" i="1"/>
  <c r="T31" i="1"/>
  <c r="T24" i="1"/>
  <c r="T16" i="1"/>
  <c r="T8" i="1"/>
  <c r="T40" i="1"/>
  <c r="T32" i="1"/>
  <c r="T25" i="1"/>
  <c r="T17" i="1"/>
  <c r="T9" i="1"/>
  <c r="T41" i="1"/>
  <c r="T33" i="1"/>
  <c r="T54" i="1"/>
  <c r="T48" i="1"/>
  <c r="T42" i="1"/>
  <c r="T65" i="1"/>
  <c r="T60" i="1"/>
  <c r="T55" i="1"/>
  <c r="T49" i="1"/>
  <c r="T43" i="1"/>
  <c r="T66" i="1"/>
  <c r="T61" i="1"/>
  <c r="T56" i="1"/>
  <c r="T50" i="1"/>
  <c r="T44" i="1"/>
  <c r="T67" i="1"/>
  <c r="T62" i="1"/>
  <c r="T57" i="1"/>
  <c r="T51" i="1"/>
  <c r="T45" i="1"/>
  <c r="T68" i="1"/>
  <c r="T63" i="1"/>
  <c r="T58" i="1"/>
  <c r="T52" i="1"/>
  <c r="T46" i="1"/>
  <c r="T69" i="1"/>
  <c r="T64" i="1"/>
  <c r="T59" i="1"/>
  <c r="T53" i="1"/>
  <c r="T47" i="1"/>
  <c r="T70" i="1"/>
  <c r="T90" i="1"/>
  <c r="T84" i="1"/>
  <c r="T77" i="1"/>
  <c r="T71" i="1"/>
  <c r="T96" i="1"/>
  <c r="T89" i="1"/>
  <c r="T85" i="1"/>
  <c r="T78" i="1"/>
  <c r="T72" i="1"/>
  <c r="T97" i="1"/>
  <c r="T91" i="1"/>
  <c r="T86" i="1"/>
  <c r="T79" i="1"/>
  <c r="T73" i="1"/>
  <c r="T98" i="1"/>
  <c r="T92" i="1"/>
  <c r="T83" i="1"/>
  <c r="T80" i="1"/>
  <c r="T74" i="1"/>
  <c r="T99" i="1"/>
  <c r="T93" i="1"/>
  <c r="T87" i="1"/>
  <c r="T81" i="1"/>
  <c r="T75" i="1"/>
  <c r="T100" i="1"/>
  <c r="T94" i="1"/>
  <c r="T88" i="1"/>
  <c r="T82" i="1"/>
  <c r="T76" i="1"/>
  <c r="T101" i="1"/>
  <c r="T95" i="1"/>
  <c r="T114" i="1"/>
  <c r="T108" i="1"/>
  <c r="T102" i="1"/>
  <c r="T126" i="1"/>
  <c r="T120" i="1"/>
  <c r="T115" i="1"/>
  <c r="T109" i="1"/>
  <c r="T103" i="1"/>
  <c r="T127" i="1"/>
  <c r="T121" i="1"/>
  <c r="T116" i="1"/>
  <c r="T110" i="1"/>
  <c r="T104" i="1"/>
  <c r="T128" i="1"/>
  <c r="T122" i="1"/>
  <c r="T117" i="1"/>
  <c r="T111" i="1"/>
  <c r="T105" i="1"/>
  <c r="T129" i="1"/>
  <c r="T123" i="1"/>
  <c r="T118" i="1"/>
  <c r="T112" i="1"/>
  <c r="T106" i="1"/>
  <c r="T130" i="1"/>
  <c r="T124" i="1"/>
  <c r="T119" i="1"/>
  <c r="T113" i="1"/>
  <c r="T107" i="1"/>
  <c r="T131" i="1"/>
  <c r="T125" i="1"/>
  <c r="T144" i="1"/>
  <c r="T138" i="1"/>
  <c r="T132" i="1"/>
  <c r="T156" i="1"/>
  <c r="T150" i="1"/>
  <c r="T145" i="1"/>
  <c r="T139" i="1"/>
  <c r="T133" i="1"/>
  <c r="T157" i="1"/>
  <c r="T151" i="1"/>
  <c r="T146" i="1"/>
  <c r="T140" i="1"/>
  <c r="T134" i="1"/>
  <c r="T158" i="1"/>
  <c r="T152" i="1"/>
  <c r="T147" i="1"/>
  <c r="T141" i="1"/>
  <c r="T135" i="1"/>
  <c r="T159" i="1"/>
  <c r="T153" i="1"/>
  <c r="T148" i="1"/>
  <c r="T142" i="1"/>
  <c r="T136" i="1"/>
  <c r="T160" i="1"/>
  <c r="T154" i="1"/>
  <c r="T149" i="1"/>
  <c r="T143" i="1"/>
  <c r="T137" i="1"/>
  <c r="T161" i="1"/>
  <c r="T155" i="1"/>
  <c r="T19" i="1"/>
  <c r="T11" i="1"/>
  <c r="T3" i="1"/>
  <c r="T35" i="1"/>
  <c r="T27" i="1"/>
  <c r="T21" i="1"/>
  <c r="T13" i="1"/>
  <c r="T5" i="1"/>
  <c r="T37" i="1"/>
  <c r="T29" i="1"/>
  <c r="T174" i="1"/>
  <c r="T169" i="1"/>
  <c r="T162" i="1"/>
  <c r="T186" i="1"/>
  <c r="T180" i="1"/>
  <c r="T175" i="1"/>
  <c r="T170" i="1"/>
  <c r="T163" i="1"/>
  <c r="T187" i="1"/>
  <c r="T181" i="1"/>
  <c r="T176" i="1"/>
  <c r="T171" i="1"/>
  <c r="T164" i="1"/>
  <c r="T188" i="1"/>
  <c r="T182" i="1"/>
  <c r="T177" i="1"/>
  <c r="T168" i="1"/>
  <c r="T165" i="1"/>
  <c r="T189" i="1"/>
  <c r="T183" i="1"/>
  <c r="T178" i="1"/>
  <c r="T172" i="1"/>
  <c r="T166" i="1"/>
  <c r="T190" i="1"/>
  <c r="T184" i="1"/>
  <c r="T179" i="1"/>
  <c r="T173" i="1"/>
  <c r="T167" i="1"/>
  <c r="T191" i="1"/>
  <c r="T185" i="1"/>
  <c r="T196" i="1"/>
  <c r="T194" i="1"/>
  <c r="T192" i="1"/>
  <c r="T200" i="1"/>
  <c r="T198" i="1"/>
  <c r="T197" i="1"/>
  <c r="T195" i="1"/>
  <c r="T193" i="1"/>
  <c r="T201" i="1"/>
  <c r="T199" i="1"/>
  <c r="T18" i="1"/>
  <c r="R10" i="1"/>
  <c r="S10" i="1" s="1"/>
  <c r="R2" i="1"/>
  <c r="S2" i="1" s="1"/>
  <c r="R34" i="1"/>
  <c r="S34" i="1" s="1"/>
  <c r="R26" i="1"/>
  <c r="S26" i="1" s="1"/>
  <c r="R20" i="1"/>
  <c r="S20" i="1" s="1"/>
  <c r="R12" i="1"/>
  <c r="S12" i="1" s="1"/>
  <c r="R4" i="1"/>
  <c r="S4" i="1" s="1"/>
  <c r="R36" i="1"/>
  <c r="S36" i="1" s="1"/>
  <c r="R28" i="1"/>
  <c r="S28" i="1" s="1"/>
  <c r="R22" i="1"/>
  <c r="S22" i="1" s="1"/>
  <c r="R14" i="1"/>
  <c r="S14" i="1" s="1"/>
  <c r="R6" i="1"/>
  <c r="S6" i="1" s="1"/>
  <c r="R38" i="1"/>
  <c r="S38" i="1" s="1"/>
  <c r="R30" i="1"/>
  <c r="S30" i="1" s="1"/>
  <c r="R23" i="1"/>
  <c r="S23" i="1" s="1"/>
  <c r="R15" i="1"/>
  <c r="S15" i="1" s="1"/>
  <c r="R7" i="1"/>
  <c r="S7" i="1" s="1"/>
  <c r="R39" i="1"/>
  <c r="S39" i="1" s="1"/>
  <c r="R31" i="1"/>
  <c r="S31" i="1" s="1"/>
  <c r="R24" i="1"/>
  <c r="S24" i="1" s="1"/>
  <c r="R16" i="1"/>
  <c r="S16" i="1" s="1"/>
  <c r="R8" i="1"/>
  <c r="S8" i="1" s="1"/>
  <c r="R40" i="1"/>
  <c r="S40" i="1" s="1"/>
  <c r="R32" i="1"/>
  <c r="S32" i="1" s="1"/>
  <c r="R25" i="1"/>
  <c r="S25" i="1" s="1"/>
  <c r="R17" i="1"/>
  <c r="S17" i="1" s="1"/>
  <c r="R9" i="1"/>
  <c r="S9" i="1" s="1"/>
  <c r="R41" i="1"/>
  <c r="S41" i="1" s="1"/>
  <c r="R33" i="1"/>
  <c r="S33" i="1" s="1"/>
  <c r="R54" i="1"/>
  <c r="S54" i="1" s="1"/>
  <c r="R48" i="1"/>
  <c r="S48" i="1" s="1"/>
  <c r="R42" i="1"/>
  <c r="S42" i="1" s="1"/>
  <c r="R65" i="1"/>
  <c r="S65" i="1" s="1"/>
  <c r="R60" i="1"/>
  <c r="S60" i="1" s="1"/>
  <c r="R55" i="1"/>
  <c r="S55" i="1" s="1"/>
  <c r="R49" i="1"/>
  <c r="S49" i="1" s="1"/>
  <c r="R43" i="1"/>
  <c r="S43" i="1" s="1"/>
  <c r="R66" i="1"/>
  <c r="S66" i="1" s="1"/>
  <c r="R61" i="1"/>
  <c r="S61" i="1" s="1"/>
  <c r="R56" i="1"/>
  <c r="S56" i="1" s="1"/>
  <c r="R50" i="1"/>
  <c r="S50" i="1" s="1"/>
  <c r="R44" i="1"/>
  <c r="S44" i="1" s="1"/>
  <c r="R67" i="1"/>
  <c r="S67" i="1" s="1"/>
  <c r="R62" i="1"/>
  <c r="S62" i="1" s="1"/>
  <c r="R57" i="1"/>
  <c r="S57" i="1" s="1"/>
  <c r="R51" i="1"/>
  <c r="S51" i="1" s="1"/>
  <c r="R45" i="1"/>
  <c r="S45" i="1" s="1"/>
  <c r="R68" i="1"/>
  <c r="S68" i="1" s="1"/>
  <c r="R63" i="1"/>
  <c r="S63" i="1" s="1"/>
  <c r="R58" i="1"/>
  <c r="S58" i="1" s="1"/>
  <c r="R52" i="1"/>
  <c r="S52" i="1" s="1"/>
  <c r="R46" i="1"/>
  <c r="S46" i="1" s="1"/>
  <c r="R69" i="1"/>
  <c r="S69" i="1" s="1"/>
  <c r="R64" i="1"/>
  <c r="S64" i="1" s="1"/>
  <c r="R59" i="1"/>
  <c r="S59" i="1" s="1"/>
  <c r="R53" i="1"/>
  <c r="S53" i="1" s="1"/>
  <c r="R47" i="1"/>
  <c r="S47" i="1" s="1"/>
  <c r="R70" i="1"/>
  <c r="S70" i="1" s="1"/>
  <c r="R90" i="1"/>
  <c r="S90" i="1" s="1"/>
  <c r="R84" i="1"/>
  <c r="S84" i="1" s="1"/>
  <c r="R77" i="1"/>
  <c r="S77" i="1" s="1"/>
  <c r="R71" i="1"/>
  <c r="S71" i="1" s="1"/>
  <c r="R96" i="1"/>
  <c r="S96" i="1" s="1"/>
  <c r="R89" i="1"/>
  <c r="S89" i="1" s="1"/>
  <c r="R85" i="1"/>
  <c r="S85" i="1" s="1"/>
  <c r="R78" i="1"/>
  <c r="S78" i="1" s="1"/>
  <c r="R72" i="1"/>
  <c r="S72" i="1" s="1"/>
  <c r="R97" i="1"/>
  <c r="S97" i="1" s="1"/>
  <c r="R91" i="1"/>
  <c r="S91" i="1" s="1"/>
  <c r="R86" i="1"/>
  <c r="S86" i="1" s="1"/>
  <c r="R79" i="1"/>
  <c r="S79" i="1" s="1"/>
  <c r="R73" i="1"/>
  <c r="S73" i="1" s="1"/>
  <c r="R98" i="1"/>
  <c r="S98" i="1" s="1"/>
  <c r="R92" i="1"/>
  <c r="S92" i="1" s="1"/>
  <c r="R83" i="1"/>
  <c r="S83" i="1" s="1"/>
  <c r="R80" i="1"/>
  <c r="S80" i="1" s="1"/>
  <c r="R74" i="1"/>
  <c r="S74" i="1" s="1"/>
  <c r="R99" i="1"/>
  <c r="S99" i="1" s="1"/>
  <c r="R93" i="1"/>
  <c r="S93" i="1" s="1"/>
  <c r="R87" i="1"/>
  <c r="S87" i="1" s="1"/>
  <c r="R81" i="1"/>
  <c r="S81" i="1" s="1"/>
  <c r="R75" i="1"/>
  <c r="S75" i="1" s="1"/>
  <c r="R100" i="1"/>
  <c r="S100" i="1" s="1"/>
  <c r="R94" i="1"/>
  <c r="S94" i="1" s="1"/>
  <c r="R88" i="1"/>
  <c r="S88" i="1" s="1"/>
  <c r="R82" i="1"/>
  <c r="S82" i="1" s="1"/>
  <c r="R76" i="1"/>
  <c r="S76" i="1" s="1"/>
  <c r="R101" i="1"/>
  <c r="S101" i="1" s="1"/>
  <c r="R95" i="1"/>
  <c r="S95" i="1" s="1"/>
  <c r="R114" i="1"/>
  <c r="S114" i="1" s="1"/>
  <c r="R108" i="1"/>
  <c r="S108" i="1" s="1"/>
  <c r="R102" i="1"/>
  <c r="S102" i="1" s="1"/>
  <c r="R126" i="1"/>
  <c r="S126" i="1" s="1"/>
  <c r="R120" i="1"/>
  <c r="S120" i="1" s="1"/>
  <c r="R115" i="1"/>
  <c r="S115" i="1" s="1"/>
  <c r="R109" i="1"/>
  <c r="S109" i="1" s="1"/>
  <c r="R103" i="1"/>
  <c r="S103" i="1" s="1"/>
  <c r="R127" i="1"/>
  <c r="S127" i="1" s="1"/>
  <c r="R121" i="1"/>
  <c r="S121" i="1" s="1"/>
  <c r="R116" i="1"/>
  <c r="S116" i="1" s="1"/>
  <c r="R110" i="1"/>
  <c r="S110" i="1" s="1"/>
  <c r="R104" i="1"/>
  <c r="S104" i="1" s="1"/>
  <c r="R128" i="1"/>
  <c r="S128" i="1" s="1"/>
  <c r="R122" i="1"/>
  <c r="S122" i="1" s="1"/>
  <c r="R117" i="1"/>
  <c r="S117" i="1" s="1"/>
  <c r="R111" i="1"/>
  <c r="S111" i="1" s="1"/>
  <c r="R105" i="1"/>
  <c r="S105" i="1" s="1"/>
  <c r="R129" i="1"/>
  <c r="S129" i="1" s="1"/>
  <c r="R123" i="1"/>
  <c r="S123" i="1" s="1"/>
  <c r="R118" i="1"/>
  <c r="S118" i="1" s="1"/>
  <c r="R112" i="1"/>
  <c r="S112" i="1" s="1"/>
  <c r="R106" i="1"/>
  <c r="S106" i="1" s="1"/>
  <c r="R130" i="1"/>
  <c r="S130" i="1" s="1"/>
  <c r="R124" i="1"/>
  <c r="S124" i="1" s="1"/>
  <c r="R119" i="1"/>
  <c r="S119" i="1" s="1"/>
  <c r="R113" i="1"/>
  <c r="S113" i="1" s="1"/>
  <c r="R107" i="1"/>
  <c r="S107" i="1" s="1"/>
  <c r="R131" i="1"/>
  <c r="S131" i="1" s="1"/>
  <c r="R125" i="1"/>
  <c r="S125" i="1" s="1"/>
  <c r="R144" i="1"/>
  <c r="S144" i="1" s="1"/>
  <c r="R138" i="1"/>
  <c r="S138" i="1" s="1"/>
  <c r="R132" i="1"/>
  <c r="S132" i="1" s="1"/>
  <c r="R156" i="1"/>
  <c r="S156" i="1" s="1"/>
  <c r="R150" i="1"/>
  <c r="S150" i="1" s="1"/>
  <c r="R145" i="1"/>
  <c r="S145" i="1" s="1"/>
  <c r="R139" i="1"/>
  <c r="S139" i="1" s="1"/>
  <c r="R133" i="1"/>
  <c r="S133" i="1" s="1"/>
  <c r="R157" i="1"/>
  <c r="S157" i="1" s="1"/>
  <c r="R151" i="1"/>
  <c r="S151" i="1" s="1"/>
  <c r="R146" i="1"/>
  <c r="S146" i="1" s="1"/>
  <c r="R140" i="1"/>
  <c r="S140" i="1" s="1"/>
  <c r="R134" i="1"/>
  <c r="S134" i="1" s="1"/>
  <c r="R158" i="1"/>
  <c r="S158" i="1" s="1"/>
  <c r="R152" i="1"/>
  <c r="S152" i="1" s="1"/>
  <c r="R147" i="1"/>
  <c r="S147" i="1" s="1"/>
  <c r="R141" i="1"/>
  <c r="S141" i="1" s="1"/>
  <c r="R135" i="1"/>
  <c r="S135" i="1" s="1"/>
  <c r="R159" i="1"/>
  <c r="S159" i="1" s="1"/>
  <c r="R153" i="1"/>
  <c r="S153" i="1" s="1"/>
  <c r="R148" i="1"/>
  <c r="S148" i="1" s="1"/>
  <c r="R142" i="1"/>
  <c r="S142" i="1" s="1"/>
  <c r="R136" i="1"/>
  <c r="S136" i="1" s="1"/>
  <c r="R160" i="1"/>
  <c r="S160" i="1" s="1"/>
  <c r="R154" i="1"/>
  <c r="S154" i="1" s="1"/>
  <c r="R149" i="1"/>
  <c r="S149" i="1" s="1"/>
  <c r="R143" i="1"/>
  <c r="S143" i="1" s="1"/>
  <c r="R137" i="1"/>
  <c r="S137" i="1" s="1"/>
  <c r="R161" i="1"/>
  <c r="S161" i="1" s="1"/>
  <c r="R155" i="1"/>
  <c r="S155" i="1" s="1"/>
  <c r="R19" i="1"/>
  <c r="S19" i="1" s="1"/>
  <c r="R11" i="1"/>
  <c r="S11" i="1" s="1"/>
  <c r="R3" i="1"/>
  <c r="S3" i="1" s="1"/>
  <c r="R35" i="1"/>
  <c r="S35" i="1" s="1"/>
  <c r="R27" i="1"/>
  <c r="S27" i="1" s="1"/>
  <c r="R21" i="1"/>
  <c r="S21" i="1" s="1"/>
  <c r="R13" i="1"/>
  <c r="S13" i="1" s="1"/>
  <c r="R5" i="1"/>
  <c r="S5" i="1" s="1"/>
  <c r="R37" i="1"/>
  <c r="S37" i="1" s="1"/>
  <c r="R29" i="1"/>
  <c r="S29" i="1" s="1"/>
  <c r="R174" i="1"/>
  <c r="S174" i="1" s="1"/>
  <c r="R169" i="1"/>
  <c r="S169" i="1" s="1"/>
  <c r="R162" i="1"/>
  <c r="S162" i="1" s="1"/>
  <c r="R186" i="1"/>
  <c r="S186" i="1" s="1"/>
  <c r="R180" i="1"/>
  <c r="S180" i="1" s="1"/>
  <c r="R175" i="1"/>
  <c r="S175" i="1" s="1"/>
  <c r="R170" i="1"/>
  <c r="S170" i="1" s="1"/>
  <c r="R163" i="1"/>
  <c r="S163" i="1" s="1"/>
  <c r="R187" i="1"/>
  <c r="S187" i="1" s="1"/>
  <c r="R181" i="1"/>
  <c r="S181" i="1" s="1"/>
  <c r="R176" i="1"/>
  <c r="S176" i="1" s="1"/>
  <c r="R171" i="1"/>
  <c r="S171" i="1" s="1"/>
  <c r="R164" i="1"/>
  <c r="S164" i="1" s="1"/>
  <c r="R188" i="1"/>
  <c r="S188" i="1" s="1"/>
  <c r="R182" i="1"/>
  <c r="S182" i="1" s="1"/>
  <c r="R177" i="1"/>
  <c r="S177" i="1" s="1"/>
  <c r="R168" i="1"/>
  <c r="S168" i="1" s="1"/>
  <c r="R165" i="1"/>
  <c r="S165" i="1" s="1"/>
  <c r="R189" i="1"/>
  <c r="S189" i="1" s="1"/>
  <c r="R183" i="1"/>
  <c r="S183" i="1" s="1"/>
  <c r="R178" i="1"/>
  <c r="S178" i="1" s="1"/>
  <c r="R172" i="1"/>
  <c r="S172" i="1" s="1"/>
  <c r="R166" i="1"/>
  <c r="S166" i="1" s="1"/>
  <c r="R190" i="1"/>
  <c r="S190" i="1" s="1"/>
  <c r="R184" i="1"/>
  <c r="S184" i="1" s="1"/>
  <c r="R179" i="1"/>
  <c r="S179" i="1" s="1"/>
  <c r="R173" i="1"/>
  <c r="S173" i="1" s="1"/>
  <c r="R167" i="1"/>
  <c r="S167" i="1" s="1"/>
  <c r="R191" i="1"/>
  <c r="S191" i="1" s="1"/>
  <c r="R185" i="1"/>
  <c r="S185" i="1" s="1"/>
  <c r="R196" i="1"/>
  <c r="S196" i="1" s="1"/>
  <c r="R194" i="1"/>
  <c r="S194" i="1" s="1"/>
  <c r="R192" i="1"/>
  <c r="S192" i="1" s="1"/>
  <c r="R200" i="1"/>
  <c r="S200" i="1" s="1"/>
  <c r="R198" i="1"/>
  <c r="S198" i="1" s="1"/>
  <c r="R197" i="1"/>
  <c r="S197" i="1" s="1"/>
  <c r="R195" i="1"/>
  <c r="S195" i="1" s="1"/>
  <c r="R193" i="1"/>
  <c r="S193" i="1" s="1"/>
  <c r="R201" i="1"/>
  <c r="S201" i="1" s="1"/>
  <c r="R199" i="1"/>
  <c r="S199" i="1" s="1"/>
  <c r="R18" i="1"/>
  <c r="S18" i="1" s="1"/>
  <c r="B6" i="4" l="1"/>
  <c r="D6" i="4" s="1"/>
  <c r="B11" i="4"/>
  <c r="D11" i="4"/>
  <c r="B9" i="4"/>
  <c r="D3" i="4"/>
  <c r="D5" i="4"/>
  <c r="D8" i="4"/>
  <c r="B7" i="4"/>
  <c r="D7" i="4" s="1"/>
  <c r="B10" i="4"/>
  <c r="D10" i="4" s="1"/>
  <c r="C20" i="3"/>
  <c r="E20" i="3" s="1"/>
  <c r="C5" i="3"/>
  <c r="C21" i="3"/>
  <c r="E21" i="3" s="1"/>
  <c r="C32" i="3"/>
  <c r="C28" i="3"/>
  <c r="C29" i="3"/>
  <c r="C26" i="3"/>
  <c r="C18" i="3"/>
  <c r="E18" i="3" s="1"/>
  <c r="E14" i="3"/>
  <c r="C6" i="3"/>
  <c r="C27" i="3"/>
  <c r="C19" i="3"/>
  <c r="E13" i="3"/>
  <c r="C4" i="3"/>
  <c r="C25" i="3"/>
  <c r="E25" i="3" s="1"/>
  <c r="C17" i="3"/>
  <c r="C3" i="3"/>
  <c r="E3" i="3" s="1"/>
  <c r="C24" i="3"/>
  <c r="C36" i="3"/>
  <c r="C10" i="3"/>
  <c r="C31" i="3"/>
  <c r="C23" i="3"/>
  <c r="C35" i="3"/>
  <c r="C2" i="3"/>
  <c r="C9" i="3"/>
  <c r="C30" i="3"/>
  <c r="C22" i="3"/>
  <c r="C34" i="3"/>
  <c r="E34" i="3" s="1"/>
  <c r="C16" i="3"/>
  <c r="E16" i="3" s="1"/>
  <c r="C8" i="3"/>
  <c r="E8" i="3" s="1"/>
  <c r="C33" i="3"/>
  <c r="C15" i="3"/>
  <c r="C7" i="3"/>
  <c r="E36" i="3" l="1"/>
  <c r="G36" i="3" s="1"/>
  <c r="D4" i="4"/>
  <c r="E7" i="3"/>
  <c r="F7" i="3" s="1"/>
  <c r="D9" i="4"/>
  <c r="E2" i="3"/>
  <c r="F2" i="3" s="1"/>
  <c r="E5" i="3"/>
  <c r="G5" i="3" s="1"/>
  <c r="E31" i="3"/>
  <c r="F31" i="3" s="1"/>
  <c r="E4" i="3"/>
  <c r="F4" i="3" s="1"/>
  <c r="E12" i="3"/>
  <c r="F12" i="3" s="1"/>
  <c r="E19" i="3"/>
  <c r="E6" i="3"/>
  <c r="E29" i="3"/>
  <c r="E33" i="3"/>
  <c r="G33" i="3" s="1"/>
  <c r="E30" i="3"/>
  <c r="F30" i="3" s="1"/>
  <c r="E32" i="3"/>
  <c r="G32" i="3" s="1"/>
  <c r="E35" i="3"/>
  <c r="F35" i="3" s="1"/>
  <c r="E26" i="3"/>
  <c r="G26" i="3" s="1"/>
  <c r="E17" i="3"/>
  <c r="G17" i="3" s="1"/>
  <c r="E23" i="3"/>
  <c r="F23" i="3" s="1"/>
  <c r="E11" i="3"/>
  <c r="G11" i="3" s="1"/>
  <c r="E10" i="3"/>
  <c r="F10" i="3" s="1"/>
  <c r="E24" i="3"/>
  <c r="F24" i="3" s="1"/>
  <c r="E15" i="3"/>
  <c r="G15" i="3" s="1"/>
  <c r="G18" i="3"/>
  <c r="F18" i="3"/>
  <c r="F14" i="3"/>
  <c r="G14" i="3"/>
  <c r="G13" i="3"/>
  <c r="F13" i="3"/>
  <c r="F20" i="3"/>
  <c r="G20" i="3"/>
  <c r="G8" i="3"/>
  <c r="F8" i="3"/>
  <c r="G3" i="3"/>
  <c r="F3" i="3"/>
  <c r="G21" i="3"/>
  <c r="F21" i="3"/>
  <c r="G25" i="3"/>
  <c r="F25" i="3"/>
  <c r="G16" i="3"/>
  <c r="F16" i="3"/>
  <c r="G34" i="3"/>
  <c r="F34" i="3"/>
  <c r="G29" i="3"/>
  <c r="F29" i="3"/>
  <c r="G19" i="3"/>
  <c r="F19" i="3"/>
  <c r="F6" i="3"/>
  <c r="G6" i="3"/>
  <c r="E22" i="3"/>
  <c r="E28" i="3"/>
  <c r="E9" i="3"/>
  <c r="E27" i="3"/>
  <c r="F5" i="3" l="1"/>
  <c r="G35" i="3"/>
  <c r="G31" i="3"/>
  <c r="F32" i="3"/>
  <c r="G7" i="3"/>
  <c r="F36" i="3"/>
  <c r="G2" i="3"/>
  <c r="G30" i="3"/>
  <c r="G12" i="3"/>
  <c r="G4" i="3"/>
  <c r="G24" i="3"/>
  <c r="F33" i="3"/>
  <c r="G10" i="3"/>
  <c r="F26" i="3"/>
  <c r="F11" i="3"/>
  <c r="G23" i="3"/>
  <c r="F17" i="3"/>
  <c r="F15" i="3"/>
  <c r="F28" i="3"/>
  <c r="G28" i="3"/>
  <c r="F22" i="3"/>
  <c r="G22" i="3"/>
  <c r="G27" i="3"/>
  <c r="F27" i="3"/>
  <c r="G9" i="3"/>
  <c r="F9" i="3"/>
</calcChain>
</file>

<file path=xl/sharedStrings.xml><?xml version="1.0" encoding="utf-8"?>
<sst xmlns="http://schemas.openxmlformats.org/spreadsheetml/2006/main" count="2922" uniqueCount="702">
  <si>
    <t>Invoice No</t>
  </si>
  <si>
    <t>Vendor Name</t>
  </si>
  <si>
    <t>Site Name</t>
  </si>
  <si>
    <t>Invoice Date</t>
  </si>
  <si>
    <t>PO No</t>
  </si>
  <si>
    <t>GRN No</t>
  </si>
  <si>
    <t>Amount (₹)</t>
  </si>
  <si>
    <t>Invoice Code</t>
  </si>
  <si>
    <t>Cost Center</t>
  </si>
  <si>
    <t>Type</t>
  </si>
  <si>
    <t>Funding Status</t>
  </si>
  <si>
    <t>Priority</t>
  </si>
  <si>
    <t>Approval Status</t>
  </si>
  <si>
    <t>Due Date</t>
  </si>
  <si>
    <t>Paid Date</t>
  </si>
  <si>
    <t>TAT (Days)</t>
  </si>
  <si>
    <t>TAT Met</t>
  </si>
  <si>
    <t>Match Status</t>
  </si>
  <si>
    <t>Remarks</t>
  </si>
  <si>
    <t>INV-001</t>
  </si>
  <si>
    <t>Sharma Supplies</t>
  </si>
  <si>
    <t>Delhi-HQ</t>
  </si>
  <si>
    <t>PO-101</t>
  </si>
  <si>
    <t>GRN-201</t>
  </si>
  <si>
    <t>AP-SUPPLY</t>
  </si>
  <si>
    <t>CC-001</t>
  </si>
  <si>
    <t>Invoice</t>
  </si>
  <si>
    <t>Funded</t>
  </si>
  <si>
    <t>Normal</t>
  </si>
  <si>
    <t>Approved</t>
  </si>
  <si>
    <t>-</t>
  </si>
  <si>
    <t>INV-002</t>
  </si>
  <si>
    <t>Mehta Contractors</t>
  </si>
  <si>
    <t>Gurgaon-Tech</t>
  </si>
  <si>
    <t>PO-102</t>
  </si>
  <si>
    <t>GRN-202</t>
  </si>
  <si>
    <t>AP-CIVIL</t>
  </si>
  <si>
    <t>CC-002</t>
  </si>
  <si>
    <t>INV-003</t>
  </si>
  <si>
    <t>Gupta Electricals</t>
  </si>
  <si>
    <t>Noida-Plaza</t>
  </si>
  <si>
    <t>PO-103</t>
  </si>
  <si>
    <t>GRN-203</t>
  </si>
  <si>
    <t>AP-ELEC</t>
  </si>
  <si>
    <t>CC-003</t>
  </si>
  <si>
    <t>Urgent</t>
  </si>
  <si>
    <t>INV-004</t>
  </si>
  <si>
    <t>Verma Facilities</t>
  </si>
  <si>
    <t>Faridabad-Mall</t>
  </si>
  <si>
    <t>PO-104</t>
  </si>
  <si>
    <t>GRN-204</t>
  </si>
  <si>
    <t>AP-MAINT</t>
  </si>
  <si>
    <t>CC-004</t>
  </si>
  <si>
    <t>INV-005</t>
  </si>
  <si>
    <t>Singh &amp; Co</t>
  </si>
  <si>
    <t>PO-105</t>
  </si>
  <si>
    <t>GRN-205</t>
  </si>
  <si>
    <t>AP-UTIL</t>
  </si>
  <si>
    <t>CC-005</t>
  </si>
  <si>
    <t>INV-006</t>
  </si>
  <si>
    <t>PO-106</t>
  </si>
  <si>
    <t>GRN-206</t>
  </si>
  <si>
    <t>Low</t>
  </si>
  <si>
    <t>INV-007</t>
  </si>
  <si>
    <t>PO-107</t>
  </si>
  <si>
    <t>GRN-207</t>
  </si>
  <si>
    <t>INV-008</t>
  </si>
  <si>
    <t>PO-108</t>
  </si>
  <si>
    <t>GRN-208</t>
  </si>
  <si>
    <t>INV-009</t>
  </si>
  <si>
    <t>PO-109</t>
  </si>
  <si>
    <t>GRN-209</t>
  </si>
  <si>
    <t>INV-010</t>
  </si>
  <si>
    <t>PO-110</t>
  </si>
  <si>
    <t>GRN-210</t>
  </si>
  <si>
    <t>INV-011</t>
  </si>
  <si>
    <t>PO-111</t>
  </si>
  <si>
    <t>GRN-211</t>
  </si>
  <si>
    <t>INV-012</t>
  </si>
  <si>
    <t>PO-112</t>
  </si>
  <si>
    <t>GRN-212</t>
  </si>
  <si>
    <t>INV-013</t>
  </si>
  <si>
    <t>PO-113</t>
  </si>
  <si>
    <t>GRN-213</t>
  </si>
  <si>
    <t>INV-014</t>
  </si>
  <si>
    <t>PO-114</t>
  </si>
  <si>
    <t>GRN-214</t>
  </si>
  <si>
    <t>INV-015</t>
  </si>
  <si>
    <t>PO-115</t>
  </si>
  <si>
    <t>GRN-215</t>
  </si>
  <si>
    <t>INV-016</t>
  </si>
  <si>
    <t>PO-116</t>
  </si>
  <si>
    <t>GRN-216</t>
  </si>
  <si>
    <t>INV-017</t>
  </si>
  <si>
    <t>PO-117</t>
  </si>
  <si>
    <t>GRN-217</t>
  </si>
  <si>
    <t>INV-018</t>
  </si>
  <si>
    <t>PO-118</t>
  </si>
  <si>
    <t>GRN-218</t>
  </si>
  <si>
    <t>INV-019</t>
  </si>
  <si>
    <t>PO-119</t>
  </si>
  <si>
    <t>GRN-219</t>
  </si>
  <si>
    <t>INV-020</t>
  </si>
  <si>
    <t>PO-120</t>
  </si>
  <si>
    <t>GRN-220</t>
  </si>
  <si>
    <t>INV-021</t>
  </si>
  <si>
    <t>PO-121</t>
  </si>
  <si>
    <t>GRN-221</t>
  </si>
  <si>
    <t>Pending</t>
  </si>
  <si>
    <t>Awaiting approver</t>
  </si>
  <si>
    <t>INV-022</t>
  </si>
  <si>
    <t>PO-122</t>
  </si>
  <si>
    <t>GRN-222</t>
  </si>
  <si>
    <t>Pending Funds</t>
  </si>
  <si>
    <t>On Hold</t>
  </si>
  <si>
    <t>Funds not released</t>
  </si>
  <si>
    <t>INV-023</t>
  </si>
  <si>
    <t>PO-123</t>
  </si>
  <si>
    <t>GRN-223</t>
  </si>
  <si>
    <t>INV-024</t>
  </si>
  <si>
    <t>PO-124</t>
  </si>
  <si>
    <t>GRN-224</t>
  </si>
  <si>
    <t>INV-025</t>
  </si>
  <si>
    <t>PO-125</t>
  </si>
  <si>
    <t>GRN-225</t>
  </si>
  <si>
    <t>INV-026</t>
  </si>
  <si>
    <t>PO-126</t>
  </si>
  <si>
    <t>GRN-226</t>
  </si>
  <si>
    <t>INV-027</t>
  </si>
  <si>
    <t>PO-127</t>
  </si>
  <si>
    <t>GRN-227</t>
  </si>
  <si>
    <t>INV-028</t>
  </si>
  <si>
    <t>PO-128</t>
  </si>
  <si>
    <t>GRN-228</t>
  </si>
  <si>
    <t>INV-029</t>
  </si>
  <si>
    <t>PO-129</t>
  </si>
  <si>
    <t>GRN-229</t>
  </si>
  <si>
    <t>INV-030</t>
  </si>
  <si>
    <t>PO-130</t>
  </si>
  <si>
    <t>GRN-230</t>
  </si>
  <si>
    <t>INV-031</t>
  </si>
  <si>
    <t>PO-131</t>
  </si>
  <si>
    <t>GRN-231</t>
  </si>
  <si>
    <t>INV-032</t>
  </si>
  <si>
    <t>PO-132</t>
  </si>
  <si>
    <t>GRN-232</t>
  </si>
  <si>
    <t>INV-033</t>
  </si>
  <si>
    <t>PO-133</t>
  </si>
  <si>
    <t>GRN-233</t>
  </si>
  <si>
    <t>INV-034</t>
  </si>
  <si>
    <t>PO-134</t>
  </si>
  <si>
    <t>GRN-234</t>
  </si>
  <si>
    <t>INV-035</t>
  </si>
  <si>
    <t>PO-135</t>
  </si>
  <si>
    <t>GRN-235</t>
  </si>
  <si>
    <t>INV-036</t>
  </si>
  <si>
    <t>PO-136</t>
  </si>
  <si>
    <t>GRN-236</t>
  </si>
  <si>
    <t>INV-037</t>
  </si>
  <si>
    <t>PO-137</t>
  </si>
  <si>
    <t>GRN-237</t>
  </si>
  <si>
    <t>INV-038</t>
  </si>
  <si>
    <t>PO-138</t>
  </si>
  <si>
    <t>GRN-238</t>
  </si>
  <si>
    <t>INV-039</t>
  </si>
  <si>
    <t>PO-139</t>
  </si>
  <si>
    <t>GRN-239</t>
  </si>
  <si>
    <t>INV-040</t>
  </si>
  <si>
    <t>PO-140</t>
  </si>
  <si>
    <t>GRN-240</t>
  </si>
  <si>
    <t>INV-041</t>
  </si>
  <si>
    <t>PO-141</t>
  </si>
  <si>
    <t>GRN-241</t>
  </si>
  <si>
    <t>Late payment</t>
  </si>
  <si>
    <t>INV-042</t>
  </si>
  <si>
    <t>PO-142</t>
  </si>
  <si>
    <t>GRN-242</t>
  </si>
  <si>
    <t>INV-043</t>
  </si>
  <si>
    <t>PO-143</t>
  </si>
  <si>
    <t>GRN-243</t>
  </si>
  <si>
    <t>Late by 1 day</t>
  </si>
  <si>
    <t>INV-044</t>
  </si>
  <si>
    <t>PO-144</t>
  </si>
  <si>
    <t>GRN-244</t>
  </si>
  <si>
    <t>INV-045</t>
  </si>
  <si>
    <t>PO-145</t>
  </si>
  <si>
    <t>GRN-245</t>
  </si>
  <si>
    <t>INV-046</t>
  </si>
  <si>
    <t>PO-146</t>
  </si>
  <si>
    <t>GRN-246</t>
  </si>
  <si>
    <t>INV-047</t>
  </si>
  <si>
    <t>PO-147</t>
  </si>
  <si>
    <t>GRN-247</t>
  </si>
  <si>
    <t>INV-048</t>
  </si>
  <si>
    <t>PO-148</t>
  </si>
  <si>
    <t>GRN-248</t>
  </si>
  <si>
    <t>INV-049</t>
  </si>
  <si>
    <t>PO-149</t>
  </si>
  <si>
    <t>GRN-249</t>
  </si>
  <si>
    <t>INV-050</t>
  </si>
  <si>
    <t>PO-150</t>
  </si>
  <si>
    <t>GRN-250</t>
  </si>
  <si>
    <t>INV-051</t>
  </si>
  <si>
    <t>PO-151</t>
  </si>
  <si>
    <t>GRN-251</t>
  </si>
  <si>
    <t>INV-052</t>
  </si>
  <si>
    <t>PO-152</t>
  </si>
  <si>
    <t>GRN-252</t>
  </si>
  <si>
    <t>INV-053</t>
  </si>
  <si>
    <t>PO-153</t>
  </si>
  <si>
    <t>GRN-253</t>
  </si>
  <si>
    <t>INV-054</t>
  </si>
  <si>
    <t>PO-154</t>
  </si>
  <si>
    <t>GRN-254</t>
  </si>
  <si>
    <t>INV-055</t>
  </si>
  <si>
    <t>PO-155</t>
  </si>
  <si>
    <t>GRN-255</t>
  </si>
  <si>
    <t>INV-056</t>
  </si>
  <si>
    <t>PO-156</t>
  </si>
  <si>
    <t>GRN-256</t>
  </si>
  <si>
    <t>INV-057</t>
  </si>
  <si>
    <t>PO-157</t>
  </si>
  <si>
    <t>GRN-257</t>
  </si>
  <si>
    <t>INV-058</t>
  </si>
  <si>
    <t>PO-158</t>
  </si>
  <si>
    <t>GRN-258</t>
  </si>
  <si>
    <t>INV-059</t>
  </si>
  <si>
    <t>PO-159</t>
  </si>
  <si>
    <t>GRN-259</t>
  </si>
  <si>
    <t>INV-060</t>
  </si>
  <si>
    <t>PO-160</t>
  </si>
  <si>
    <t>GRN-260</t>
  </si>
  <si>
    <t>INV-061</t>
  </si>
  <si>
    <t>MISSING</t>
  </si>
  <si>
    <t>GRN-261</t>
  </si>
  <si>
    <t>PO not found</t>
  </si>
  <si>
    <t>INV-062</t>
  </si>
  <si>
    <t>PO-162</t>
  </si>
  <si>
    <t>GRN not received</t>
  </si>
  <si>
    <t>INV-063</t>
  </si>
  <si>
    <t>GRN-263</t>
  </si>
  <si>
    <t>INV-064</t>
  </si>
  <si>
    <t>PO-164</t>
  </si>
  <si>
    <t>INV-065</t>
  </si>
  <si>
    <t>GRN-265</t>
  </si>
  <si>
    <t>INV-066</t>
  </si>
  <si>
    <t>PO-166</t>
  </si>
  <si>
    <t>GRN-266</t>
  </si>
  <si>
    <t>INV-067</t>
  </si>
  <si>
    <t>PO-167</t>
  </si>
  <si>
    <t>GRN-267</t>
  </si>
  <si>
    <t>INV-068</t>
  </si>
  <si>
    <t>PO-168</t>
  </si>
  <si>
    <t>GRN-268</t>
  </si>
  <si>
    <t>INV-069</t>
  </si>
  <si>
    <t>PO-169</t>
  </si>
  <si>
    <t>GRN-269</t>
  </si>
  <si>
    <t>INV-070</t>
  </si>
  <si>
    <t>PO-170</t>
  </si>
  <si>
    <t>GRN-270</t>
  </si>
  <si>
    <t>INV-071</t>
  </si>
  <si>
    <t>PO-171</t>
  </si>
  <si>
    <t>GRN-271</t>
  </si>
  <si>
    <t>INV-072</t>
  </si>
  <si>
    <t>PO-172</t>
  </si>
  <si>
    <t>GRN-272</t>
  </si>
  <si>
    <t>INV-073</t>
  </si>
  <si>
    <t>PO-173</t>
  </si>
  <si>
    <t>GRN-273</t>
  </si>
  <si>
    <t>INV-074</t>
  </si>
  <si>
    <t>PO-174</t>
  </si>
  <si>
    <t>GRN-274</t>
  </si>
  <si>
    <t>INV-075</t>
  </si>
  <si>
    <t>PO-175</t>
  </si>
  <si>
    <t>GRN-275</t>
  </si>
  <si>
    <t>INV-076</t>
  </si>
  <si>
    <t>GRN-276</t>
  </si>
  <si>
    <t>INV-077</t>
  </si>
  <si>
    <t>PO-177</t>
  </si>
  <si>
    <t>INV-078</t>
  </si>
  <si>
    <t>PO-178</t>
  </si>
  <si>
    <t>GRN-278</t>
  </si>
  <si>
    <t>INV-079</t>
  </si>
  <si>
    <t>PO-179</t>
  </si>
  <si>
    <t>GRN-279</t>
  </si>
  <si>
    <t>INV-080</t>
  </si>
  <si>
    <t>PO-180</t>
  </si>
  <si>
    <t>GRN-280</t>
  </si>
  <si>
    <t>INV-081</t>
  </si>
  <si>
    <t>PO-181</t>
  </si>
  <si>
    <t>GRN-281</t>
  </si>
  <si>
    <t>INV-082</t>
  </si>
  <si>
    <t>PO-182</t>
  </si>
  <si>
    <t>GRN-282</t>
  </si>
  <si>
    <t>INV-083</t>
  </si>
  <si>
    <t>PO-183</t>
  </si>
  <si>
    <t>GRN-283</t>
  </si>
  <si>
    <t>INV-084</t>
  </si>
  <si>
    <t>PO-184</t>
  </si>
  <si>
    <t>GRN-284</t>
  </si>
  <si>
    <t>INV-085</t>
  </si>
  <si>
    <t>PO-185</t>
  </si>
  <si>
    <t>GRN-285</t>
  </si>
  <si>
    <t>INV-086</t>
  </si>
  <si>
    <t>PO-186</t>
  </si>
  <si>
    <t>GRN-286</t>
  </si>
  <si>
    <t>INV-087</t>
  </si>
  <si>
    <t>PO-187</t>
  </si>
  <si>
    <t>GRN-287</t>
  </si>
  <si>
    <t>INV-088</t>
  </si>
  <si>
    <t>PO-188</t>
  </si>
  <si>
    <t>GRN-288</t>
  </si>
  <si>
    <t>INV-089</t>
  </si>
  <si>
    <t>PO-189</t>
  </si>
  <si>
    <t>GRN-289</t>
  </si>
  <si>
    <t>INV-090</t>
  </si>
  <si>
    <t>PO-190</t>
  </si>
  <si>
    <t>GRN-290</t>
  </si>
  <si>
    <t>INV-091</t>
  </si>
  <si>
    <t>PO-191</t>
  </si>
  <si>
    <t>GRN-291</t>
  </si>
  <si>
    <t>INV-092</t>
  </si>
  <si>
    <t>PO-192</t>
  </si>
  <si>
    <t>GRN-292</t>
  </si>
  <si>
    <t>INV-093</t>
  </si>
  <si>
    <t>PO-193</t>
  </si>
  <si>
    <t>GRN-293</t>
  </si>
  <si>
    <t>INV-094</t>
  </si>
  <si>
    <t>PO-194</t>
  </si>
  <si>
    <t>GRN-294</t>
  </si>
  <si>
    <t>INV-095</t>
  </si>
  <si>
    <t>PO-195</t>
  </si>
  <si>
    <t>GRN-295</t>
  </si>
  <si>
    <t>INV-096</t>
  </si>
  <si>
    <t>PO-196</t>
  </si>
  <si>
    <t>GRN-296</t>
  </si>
  <si>
    <t>INV-097</t>
  </si>
  <si>
    <t>PO-197</t>
  </si>
  <si>
    <t>GRN-297</t>
  </si>
  <si>
    <t>INV-098</t>
  </si>
  <si>
    <t>PO-198</t>
  </si>
  <si>
    <t>GRN-298</t>
  </si>
  <si>
    <t>INV-099</t>
  </si>
  <si>
    <t>PO-199</t>
  </si>
  <si>
    <t>GRN-299</t>
  </si>
  <si>
    <t>INV-100</t>
  </si>
  <si>
    <t>PO-200</t>
  </si>
  <si>
    <t>GRN-300</t>
  </si>
  <si>
    <t>INV-101</t>
  </si>
  <si>
    <t>PO-201</t>
  </si>
  <si>
    <t>GRN-301</t>
  </si>
  <si>
    <t>INV-102</t>
  </si>
  <si>
    <t>PO-202</t>
  </si>
  <si>
    <t>GRN-302</t>
  </si>
  <si>
    <t>INV-103</t>
  </si>
  <si>
    <t>PO-203</t>
  </si>
  <si>
    <t>GRN-303</t>
  </si>
  <si>
    <t>INV-104</t>
  </si>
  <si>
    <t>PO-204</t>
  </si>
  <si>
    <t>GRN-304</t>
  </si>
  <si>
    <t>INV-105</t>
  </si>
  <si>
    <t>PO-205</t>
  </si>
  <si>
    <t>GRN-305</t>
  </si>
  <si>
    <t>INV-106</t>
  </si>
  <si>
    <t>PO-206</t>
  </si>
  <si>
    <t>GRN-306</t>
  </si>
  <si>
    <t>INV-107</t>
  </si>
  <si>
    <t>PO-207</t>
  </si>
  <si>
    <t>GRN-307</t>
  </si>
  <si>
    <t>INV-108</t>
  </si>
  <si>
    <t>PO-208</t>
  </si>
  <si>
    <t>GRN-308</t>
  </si>
  <si>
    <t>INV-109</t>
  </si>
  <si>
    <t>PO-209</t>
  </si>
  <si>
    <t>GRN-309</t>
  </si>
  <si>
    <t>INV-110</t>
  </si>
  <si>
    <t>PO-210</t>
  </si>
  <si>
    <t>GRN-310</t>
  </si>
  <si>
    <t>INV-111</t>
  </si>
  <si>
    <t>PO-211</t>
  </si>
  <si>
    <t>GRN-311</t>
  </si>
  <si>
    <t>INV-112</t>
  </si>
  <si>
    <t>PO-212</t>
  </si>
  <si>
    <t>GRN-312</t>
  </si>
  <si>
    <t>INV-113</t>
  </si>
  <si>
    <t>PO-213</t>
  </si>
  <si>
    <t>GRN-313</t>
  </si>
  <si>
    <t>INV-114</t>
  </si>
  <si>
    <t>PO-214</t>
  </si>
  <si>
    <t>GRN-314</t>
  </si>
  <si>
    <t>INV-115</t>
  </si>
  <si>
    <t>PO-215</t>
  </si>
  <si>
    <t>GRN-315</t>
  </si>
  <si>
    <t>INV-116</t>
  </si>
  <si>
    <t>PO-216</t>
  </si>
  <si>
    <t>GRN-316</t>
  </si>
  <si>
    <t>INV-117</t>
  </si>
  <si>
    <t>PO-217</t>
  </si>
  <si>
    <t>GRN-317</t>
  </si>
  <si>
    <t>INV-118</t>
  </si>
  <si>
    <t>PO-218</t>
  </si>
  <si>
    <t>GRN-318</t>
  </si>
  <si>
    <t>INV-119</t>
  </si>
  <si>
    <t>PO-219</t>
  </si>
  <si>
    <t>GRN-319</t>
  </si>
  <si>
    <t>INV-120</t>
  </si>
  <si>
    <t>PO-220</t>
  </si>
  <si>
    <t>GRN-320</t>
  </si>
  <si>
    <t>INV-121</t>
  </si>
  <si>
    <t>PO-221</t>
  </si>
  <si>
    <t>GRN-321</t>
  </si>
  <si>
    <t>Credit Note</t>
  </si>
  <si>
    <t>Credit note issued</t>
  </si>
  <si>
    <t>INV-122</t>
  </si>
  <si>
    <t>PO-222</t>
  </si>
  <si>
    <t>GRN-322</t>
  </si>
  <si>
    <t>INV-123</t>
  </si>
  <si>
    <t>PO-223</t>
  </si>
  <si>
    <t>GRN-323</t>
  </si>
  <si>
    <t>INV-124</t>
  </si>
  <si>
    <t>PO-224</t>
  </si>
  <si>
    <t>GRN-324</t>
  </si>
  <si>
    <t>INV-125</t>
  </si>
  <si>
    <t>PO-225</t>
  </si>
  <si>
    <t>GRN-325</t>
  </si>
  <si>
    <t>INV-126</t>
  </si>
  <si>
    <t>PO-226</t>
  </si>
  <si>
    <t>GRN-326</t>
  </si>
  <si>
    <t>INV-127</t>
  </si>
  <si>
    <t>PO-227</t>
  </si>
  <si>
    <t>GRN-327</t>
  </si>
  <si>
    <t>INV-128</t>
  </si>
  <si>
    <t>PO-228</t>
  </si>
  <si>
    <t>GRN-328</t>
  </si>
  <si>
    <t>INV-129</t>
  </si>
  <si>
    <t>PO-229</t>
  </si>
  <si>
    <t>GRN-329</t>
  </si>
  <si>
    <t>INV-130</t>
  </si>
  <si>
    <t>PO-230</t>
  </si>
  <si>
    <t>GRN-330</t>
  </si>
  <si>
    <t>INV-131</t>
  </si>
  <si>
    <t>PO-231</t>
  </si>
  <si>
    <t>GRN-331</t>
  </si>
  <si>
    <t>INV-132</t>
  </si>
  <si>
    <t>PO-232</t>
  </si>
  <si>
    <t>GRN-332</t>
  </si>
  <si>
    <t>INV-133</t>
  </si>
  <si>
    <t>PO-233</t>
  </si>
  <si>
    <t>GRN-333</t>
  </si>
  <si>
    <t>INV-134</t>
  </si>
  <si>
    <t>PO-234</t>
  </si>
  <si>
    <t>GRN-334</t>
  </si>
  <si>
    <t>INV-135</t>
  </si>
  <si>
    <t>PO-235</t>
  </si>
  <si>
    <t>GRN-335</t>
  </si>
  <si>
    <t>INV-136</t>
  </si>
  <si>
    <t>PO-236</t>
  </si>
  <si>
    <t>GRN-336</t>
  </si>
  <si>
    <t>INV-137</t>
  </si>
  <si>
    <t>PO-237</t>
  </si>
  <si>
    <t>GRN-337</t>
  </si>
  <si>
    <t>INV-138</t>
  </si>
  <si>
    <t>PO-238</t>
  </si>
  <si>
    <t>GRN-338</t>
  </si>
  <si>
    <t>INV-139</t>
  </si>
  <si>
    <t>PO-239</t>
  </si>
  <si>
    <t>GRN-339</t>
  </si>
  <si>
    <t>INV-140</t>
  </si>
  <si>
    <t>PO-240</t>
  </si>
  <si>
    <t>GRN-340</t>
  </si>
  <si>
    <t>INV-141</t>
  </si>
  <si>
    <t>PO-241</t>
  </si>
  <si>
    <t>GRN-341</t>
  </si>
  <si>
    <t>INV-142</t>
  </si>
  <si>
    <t>PO-242</t>
  </si>
  <si>
    <t>GRN-342</t>
  </si>
  <si>
    <t>INV-143</t>
  </si>
  <si>
    <t>PO-243</t>
  </si>
  <si>
    <t>GRN-343</t>
  </si>
  <si>
    <t>INV-144</t>
  </si>
  <si>
    <t>PO-244</t>
  </si>
  <si>
    <t>GRN-344</t>
  </si>
  <si>
    <t>INV-145</t>
  </si>
  <si>
    <t>PO-245</t>
  </si>
  <si>
    <t>GRN-345</t>
  </si>
  <si>
    <t>INV-146</t>
  </si>
  <si>
    <t>PO-246</t>
  </si>
  <si>
    <t>GRN-346</t>
  </si>
  <si>
    <t>INV-147</t>
  </si>
  <si>
    <t>PO-247</t>
  </si>
  <si>
    <t>GRN-347</t>
  </si>
  <si>
    <t>INV-148</t>
  </si>
  <si>
    <t>PO-248</t>
  </si>
  <si>
    <t>GRN-348</t>
  </si>
  <si>
    <t>INV-149</t>
  </si>
  <si>
    <t>PO-249</t>
  </si>
  <si>
    <t>GRN-349</t>
  </si>
  <si>
    <t>INV-150</t>
  </si>
  <si>
    <t>PO-250</t>
  </si>
  <si>
    <t>GRN-350</t>
  </si>
  <si>
    <t>INV-151</t>
  </si>
  <si>
    <t>Duplicate of INV-001</t>
  </si>
  <si>
    <t>INV-152</t>
  </si>
  <si>
    <t>Duplicate of INV-002</t>
  </si>
  <si>
    <t>INV-153</t>
  </si>
  <si>
    <t>Duplicate detected</t>
  </si>
  <si>
    <t>INV-154</t>
  </si>
  <si>
    <t>INV-155</t>
  </si>
  <si>
    <t>Duplicate of INV-005</t>
  </si>
  <si>
    <t>INV-156</t>
  </si>
  <si>
    <t>INV-157</t>
  </si>
  <si>
    <t>Duplicate of INV-007</t>
  </si>
  <si>
    <t>INV-158</t>
  </si>
  <si>
    <t>INV-159</t>
  </si>
  <si>
    <t>INV-160</t>
  </si>
  <si>
    <t>Duplicate of INV-010</t>
  </si>
  <si>
    <t>INV-161</t>
  </si>
  <si>
    <t>PO-261</t>
  </si>
  <si>
    <t>GRN-361</t>
  </si>
  <si>
    <t>INV-162</t>
  </si>
  <si>
    <t>PO-262</t>
  </si>
  <si>
    <t>GRN-362</t>
  </si>
  <si>
    <t>INV-163</t>
  </si>
  <si>
    <t>PO-263</t>
  </si>
  <si>
    <t>GRN-363</t>
  </si>
  <si>
    <t>INV-164</t>
  </si>
  <si>
    <t>PO-264</t>
  </si>
  <si>
    <t>GRN-364</t>
  </si>
  <si>
    <t>INV-165</t>
  </si>
  <si>
    <t>PO-265</t>
  </si>
  <si>
    <t>GRN-365</t>
  </si>
  <si>
    <t>INV-166</t>
  </si>
  <si>
    <t>PO-266</t>
  </si>
  <si>
    <t>GRN-366</t>
  </si>
  <si>
    <t>INV-167</t>
  </si>
  <si>
    <t>PO-267</t>
  </si>
  <si>
    <t>GRN-367</t>
  </si>
  <si>
    <t>INV-168</t>
  </si>
  <si>
    <t>PO-268</t>
  </si>
  <si>
    <t>GRN-368</t>
  </si>
  <si>
    <t>INV-169</t>
  </si>
  <si>
    <t>PO-269</t>
  </si>
  <si>
    <t>GRN-369</t>
  </si>
  <si>
    <t>INV-170</t>
  </si>
  <si>
    <t>PO-270</t>
  </si>
  <si>
    <t>GRN-370</t>
  </si>
  <si>
    <t>INV-171</t>
  </si>
  <si>
    <t>PO-271</t>
  </si>
  <si>
    <t>GRN-371</t>
  </si>
  <si>
    <t>INV-172</t>
  </si>
  <si>
    <t>PO-272</t>
  </si>
  <si>
    <t>GRN-372</t>
  </si>
  <si>
    <t>INV-173</t>
  </si>
  <si>
    <t>PO-273</t>
  </si>
  <si>
    <t>GRN-373</t>
  </si>
  <si>
    <t>INV-174</t>
  </si>
  <si>
    <t>PO-274</t>
  </si>
  <si>
    <t>GRN-374</t>
  </si>
  <si>
    <t>INV-175</t>
  </si>
  <si>
    <t>PO-275</t>
  </si>
  <si>
    <t>GRN-375</t>
  </si>
  <si>
    <t>INV-176</t>
  </si>
  <si>
    <t>PO-276</t>
  </si>
  <si>
    <t>GRN-376</t>
  </si>
  <si>
    <t>INV-177</t>
  </si>
  <si>
    <t>GRN-377</t>
  </si>
  <si>
    <t>INV-178</t>
  </si>
  <si>
    <t>PO-278</t>
  </si>
  <si>
    <t>INV-179</t>
  </si>
  <si>
    <t>PO-279</t>
  </si>
  <si>
    <t>GRN-379</t>
  </si>
  <si>
    <t>INV-180</t>
  </si>
  <si>
    <t>PO-280</t>
  </si>
  <si>
    <t>GRN-380</t>
  </si>
  <si>
    <t>INV-181</t>
  </si>
  <si>
    <t>PO-281</t>
  </si>
  <si>
    <t>GRN-381</t>
  </si>
  <si>
    <t>INV-182</t>
  </si>
  <si>
    <t>PO-282</t>
  </si>
  <si>
    <t>GRN-382</t>
  </si>
  <si>
    <t>INV-183</t>
  </si>
  <si>
    <t>PO-283</t>
  </si>
  <si>
    <t>GRN-383</t>
  </si>
  <si>
    <t>INV-184</t>
  </si>
  <si>
    <t>PO-284</t>
  </si>
  <si>
    <t>GRN-384</t>
  </si>
  <si>
    <t>INV-185</t>
  </si>
  <si>
    <t>PO-285</t>
  </si>
  <si>
    <t>GRN-385</t>
  </si>
  <si>
    <t>INV-186</t>
  </si>
  <si>
    <t>PO-286</t>
  </si>
  <si>
    <t>GRN-386</t>
  </si>
  <si>
    <t>INV-187</t>
  </si>
  <si>
    <t>PO-287</t>
  </si>
  <si>
    <t>GRN-387</t>
  </si>
  <si>
    <t>INV-188</t>
  </si>
  <si>
    <t>PO-288</t>
  </si>
  <si>
    <t>GRN-388</t>
  </si>
  <si>
    <t>INV-189</t>
  </si>
  <si>
    <t>PO-289</t>
  </si>
  <si>
    <t>GRN-389</t>
  </si>
  <si>
    <t>INV-190</t>
  </si>
  <si>
    <t>PO-290</t>
  </si>
  <si>
    <t>GRN-390</t>
  </si>
  <si>
    <t>INV-191</t>
  </si>
  <si>
    <t>PO-291</t>
  </si>
  <si>
    <t>GRN-391</t>
  </si>
  <si>
    <t>INV-192</t>
  </si>
  <si>
    <t>PO-292</t>
  </si>
  <si>
    <t>GRN-392</t>
  </si>
  <si>
    <t>INV-193</t>
  </si>
  <si>
    <t>PO-293</t>
  </si>
  <si>
    <t>GRN-393</t>
  </si>
  <si>
    <t>INV-194</t>
  </si>
  <si>
    <t>PO-294</t>
  </si>
  <si>
    <t>GRN-394</t>
  </si>
  <si>
    <t>INV-195</t>
  </si>
  <si>
    <t>PO-295</t>
  </si>
  <si>
    <t>GRN-395</t>
  </si>
  <si>
    <t>INV-196</t>
  </si>
  <si>
    <t>PO-296</t>
  </si>
  <si>
    <t>GRN-396</t>
  </si>
  <si>
    <t>INV-197</t>
  </si>
  <si>
    <t>PO-297</t>
  </si>
  <si>
    <t>GRN-397</t>
  </si>
  <si>
    <t>INV-198</t>
  </si>
  <si>
    <t>PO-298</t>
  </si>
  <si>
    <t>GRN-398</t>
  </si>
  <si>
    <t>INV-199</t>
  </si>
  <si>
    <t>PO-299</t>
  </si>
  <si>
    <t>GRN-399</t>
  </si>
  <si>
    <t>INV-200</t>
  </si>
  <si>
    <t>PO-300</t>
  </si>
  <si>
    <t>GRN-400</t>
  </si>
  <si>
    <t>Duplicate Flag</t>
  </si>
  <si>
    <t xml:space="preserve">Supplier Name </t>
  </si>
  <si>
    <t xml:space="preserve"> Our Ledger (₹) </t>
  </si>
  <si>
    <t xml:space="preserve"> Supplier Statement (₹) </t>
  </si>
  <si>
    <t xml:space="preserve"> Difference (₹) </t>
  </si>
  <si>
    <t xml:space="preserve"> Status </t>
  </si>
  <si>
    <t xml:space="preserve"> Issue Type </t>
  </si>
  <si>
    <t xml:space="preserve"> Follow-up Date </t>
  </si>
  <si>
    <t xml:space="preserve"> Resolution Status </t>
  </si>
  <si>
    <t xml:space="preserve"> Remarks</t>
  </si>
  <si>
    <t>Month</t>
  </si>
  <si>
    <t>Metric</t>
  </si>
  <si>
    <t>Value</t>
  </si>
  <si>
    <t>Target</t>
  </si>
  <si>
    <t>Status</t>
  </si>
  <si>
    <t>Total Invoices</t>
  </si>
  <si>
    <t>Mismatches</t>
  </si>
  <si>
    <t>Duplicates Detected</t>
  </si>
  <si>
    <t>TAT Breached</t>
  </si>
  <si>
    <t>Total Invoice Value (₹)</t>
  </si>
  <si>
    <t>Credit Notes Processed</t>
  </si>
  <si>
    <t>AP KPI DASHBOARD — RICS &amp; ISAE COMPLIANCE</t>
  </si>
  <si>
    <t xml:space="preserve">Process Control Point </t>
  </si>
  <si>
    <t xml:space="preserve"> Standard </t>
  </si>
  <si>
    <t xml:space="preserve"> Compliance Status </t>
  </si>
  <si>
    <t xml:space="preserve"> Evidence</t>
  </si>
  <si>
    <t>All invoices matched to approved PO before processing</t>
  </si>
  <si>
    <t>GRN confirmed before payment release</t>
  </si>
  <si>
    <t>Duplicate invoice detection process in place</t>
  </si>
  <si>
    <t>Payment approved by designated approver</t>
  </si>
  <si>
    <t>Supplier reconciliation performed monthly</t>
  </si>
  <si>
    <t>Funding confirmed before payment run</t>
  </si>
  <si>
    <t>TAT monitored and reported to Team Leader</t>
  </si>
  <si>
    <t>Exceptions escalated and logged</t>
  </si>
  <si>
    <t>KPIs reported weekly</t>
  </si>
  <si>
    <t>Client financial data maintained confidentially</t>
  </si>
  <si>
    <t>Production log maintained per invoice</t>
  </si>
  <si>
    <t>Credit notes processed and reconciled</t>
  </si>
  <si>
    <t>RICS</t>
  </si>
  <si>
    <t>ISAE 3402</t>
  </si>
  <si>
    <t>✓ Compliant</t>
  </si>
  <si>
    <t>3-Way Match column in Invoice Master</t>
  </si>
  <si>
    <t>GRN No. verified in Invoice Master</t>
  </si>
  <si>
    <t>Duplicate Detector sheet active</t>
  </si>
  <si>
    <t>Approval Status tracked in Invoice Master</t>
  </si>
  <si>
    <t>Supplier Recon sheet — monthly cadence</t>
  </si>
  <si>
    <t>Funding Status column tracked</t>
  </si>
  <si>
    <t>TAT Met column + MIS Report</t>
  </si>
  <si>
    <t>Remarks column + On Hold status</t>
  </si>
  <si>
    <t>KPI Dashboard updated weekly</t>
  </si>
  <si>
    <t>Access restricted to authorised users</t>
  </si>
  <si>
    <t>Invoice Master serves as production log</t>
  </si>
  <si>
    <t>Credit Note type tracked in Invoice Master</t>
  </si>
  <si>
    <t>OK</t>
  </si>
  <si>
    <t>Jan</t>
  </si>
  <si>
    <t>Feb</t>
  </si>
  <si>
    <t>Mar</t>
  </si>
  <si>
    <t>Apr</t>
  </si>
  <si>
    <t>May</t>
  </si>
  <si>
    <t>Jun</t>
  </si>
  <si>
    <t>Jul</t>
  </si>
  <si>
    <t>Amount</t>
  </si>
  <si>
    <t>Overdues</t>
  </si>
  <si>
    <t>Avg TAT</t>
  </si>
  <si>
    <t xml:space="preserve">AP KPI DASHBOARD </t>
  </si>
  <si>
    <t>Approved %</t>
  </si>
  <si>
    <t>Avg Amount</t>
  </si>
  <si>
    <t>Site and Vendor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</si>
</sst>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quot;₹&quot;\ * #,##0.00_ ;_ &quot;₹&quot;\ * \-#,##0.00_ ;_ &quot;₹&quot;\ * &quot;-&quot;??_ ;_ @_ "/>
    <numFmt numFmtId="164" formatCode="0.0%"/>
    <numFmt numFmtId="165" formatCode="mmm"/>
    <numFmt numFmtId="166" formatCode="_ &quot;₹&quot;\ * #,##0_ ;_ &quot;₹&quot;\ * \-#,##0_ ;_ &quot;₹&quot;\ * &quot;-&quot;??_ ;_ @_ "/>
    <numFmt numFmtId="167" formatCode="0.0"/>
  </numFmts>
  <fonts count="11" x14ac:knownFonts="1">
    <font>
      <sz val="11"/>
      <color theme="1"/>
      <name val="Calibri"/>
      <family val="2"/>
    </font>
    <font>
      <sz val="11"/>
      <color theme="1"/>
      <name val="Calibri"/>
      <family val="2"/>
    </font>
    <font>
      <b/>
      <sz val="11"/>
      <color theme="0"/>
      <name val="Calibri"/>
      <family val="2"/>
    </font>
    <font>
      <b/>
      <sz val="11"/>
      <color theme="1"/>
      <name val="Calibri"/>
      <family val="2"/>
    </font>
    <font>
      <b/>
      <sz val="11"/>
      <color rgb="FFFFFFFF"/>
      <name val="Arial"/>
      <family val="2"/>
    </font>
    <font>
      <sz val="10"/>
      <color rgb="FF000000"/>
      <name val="Arial"/>
      <family val="2"/>
    </font>
    <font>
      <sz val="10"/>
      <name val="Arial"/>
      <family val="2"/>
    </font>
    <font>
      <b/>
      <sz val="16"/>
      <color theme="0"/>
      <name val="Calibri"/>
      <family val="2"/>
    </font>
    <font>
      <b/>
      <sz val="26"/>
      <color theme="1"/>
      <name val="Calibri"/>
      <family val="2"/>
    </font>
    <font>
      <b/>
      <sz val="26"/>
      <color theme="0"/>
      <name val="Calibri"/>
      <family val="2"/>
    </font>
    <font>
      <sz val="11"/>
      <color theme="0"/>
      <name val="Calibri"/>
      <family val="2"/>
    </font>
  </fonts>
  <fills count="5">
    <fill>
      <patternFill patternType="none"/>
    </fill>
    <fill>
      <patternFill patternType="gray125"/>
    </fill>
    <fill>
      <patternFill patternType="solid">
        <fgColor rgb="FF1F4E79"/>
      </patternFill>
    </fill>
    <fill>
      <patternFill patternType="solid">
        <fgColor rgb="FF002060"/>
        <bgColor indexed="64"/>
      </patternFill>
    </fill>
    <fill>
      <patternFill patternType="solid">
        <fgColor theme="0"/>
        <bgColor indexed="6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30">
    <xf numFmtId="0" fontId="0" fillId="0" borderId="0" xfId="0"/>
    <xf numFmtId="0" fontId="4" fillId="2" borderId="1" xfId="0" applyFont="1" applyFill="1" applyBorder="1" applyAlignment="1">
      <alignment horizontal="center" vertical="center" wrapText="1"/>
    </xf>
    <xf numFmtId="0" fontId="0" fillId="0" borderId="2" xfId="0" applyBorder="1"/>
    <xf numFmtId="17" fontId="0" fillId="0" borderId="2" xfId="0" applyNumberFormat="1" applyBorder="1"/>
    <xf numFmtId="15" fontId="0" fillId="0" borderId="2" xfId="0" applyNumberFormat="1" applyBorder="1"/>
    <xf numFmtId="0" fontId="0" fillId="0" borderId="2" xfId="0" applyBorder="1" applyAlignment="1">
      <alignment horizontal="center"/>
    </xf>
    <xf numFmtId="0" fontId="2" fillId="3" borderId="2" xfId="0" applyFont="1" applyFill="1" applyBorder="1"/>
    <xf numFmtId="0" fontId="3" fillId="0" borderId="2" xfId="0" applyFont="1" applyBorder="1"/>
    <xf numFmtId="165" fontId="0" fillId="0" borderId="0" xfId="0" applyNumberFormat="1"/>
    <xf numFmtId="166" fontId="0" fillId="0" borderId="0" xfId="0" applyNumberFormat="1"/>
    <xf numFmtId="0" fontId="0" fillId="0" borderId="0" xfId="0" applyAlignment="1">
      <alignment horizontal="center"/>
    </xf>
    <xf numFmtId="0" fontId="7" fillId="4" borderId="3" xfId="0" applyFont="1" applyFill="1" applyBorder="1" applyAlignment="1">
      <alignment horizontal="center"/>
    </xf>
    <xf numFmtId="0" fontId="7" fillId="4" borderId="0" xfId="0" applyFont="1" applyFill="1" applyAlignment="1">
      <alignment horizontal="center"/>
    </xf>
    <xf numFmtId="0" fontId="0" fillId="4" borderId="0" xfId="0" applyFill="1"/>
    <xf numFmtId="9" fontId="0" fillId="0" borderId="2" xfId="1" applyFont="1" applyBorder="1" applyAlignment="1">
      <alignment horizontal="center"/>
    </xf>
    <xf numFmtId="167" fontId="0" fillId="0" borderId="2" xfId="0" applyNumberFormat="1" applyBorder="1" applyAlignment="1">
      <alignment horizontal="center"/>
    </xf>
    <xf numFmtId="164" fontId="0" fillId="0" borderId="2" xfId="1" applyNumberFormat="1" applyFont="1" applyBorder="1" applyAlignment="1">
      <alignment horizontal="center"/>
    </xf>
    <xf numFmtId="166" fontId="0" fillId="0" borderId="2" xfId="2" applyNumberFormat="1" applyFont="1" applyBorder="1" applyAlignment="1">
      <alignment horizontal="center"/>
    </xf>
    <xf numFmtId="0" fontId="8" fillId="0" borderId="0" xfId="0" applyFont="1" applyAlignment="1">
      <alignment horizontal="center"/>
    </xf>
    <xf numFmtId="0" fontId="9" fillId="4" borderId="0" xfId="0" applyFont="1" applyFill="1" applyAlignment="1">
      <alignment horizontal="center"/>
    </xf>
    <xf numFmtId="0" fontId="4" fillId="2" borderId="2" xfId="0" applyFont="1" applyFill="1" applyBorder="1" applyAlignment="1">
      <alignment horizontal="center" vertical="center" wrapText="1"/>
    </xf>
    <xf numFmtId="0" fontId="5" fillId="0" borderId="2" xfId="0" applyFont="1" applyBorder="1" applyAlignment="1">
      <alignment horizontal="left" vertical="center"/>
    </xf>
    <xf numFmtId="14" fontId="5" fillId="0" borderId="2" xfId="0" applyNumberFormat="1" applyFont="1" applyBorder="1" applyAlignment="1">
      <alignment horizontal="left" vertical="center"/>
    </xf>
    <xf numFmtId="0" fontId="6" fillId="0" borderId="2" xfId="0" applyFont="1" applyBorder="1" applyAlignment="1">
      <alignment horizontal="left" vertical="center"/>
    </xf>
    <xf numFmtId="15" fontId="5" fillId="0" borderId="2" xfId="0" applyNumberFormat="1" applyFont="1" applyBorder="1" applyAlignment="1">
      <alignment horizontal="left" vertical="center"/>
    </xf>
    <xf numFmtId="0" fontId="7" fillId="3" borderId="3" xfId="0" applyFont="1" applyFill="1" applyBorder="1" applyAlignment="1">
      <alignment horizontal="center"/>
    </xf>
    <xf numFmtId="0" fontId="7" fillId="3" borderId="0" xfId="0" applyFont="1" applyFill="1" applyAlignment="1">
      <alignment horizontal="center"/>
    </xf>
    <xf numFmtId="0" fontId="9" fillId="3" borderId="0" xfId="0" applyFont="1" applyFill="1" applyAlignment="1">
      <alignment horizontal="center"/>
    </xf>
    <xf numFmtId="0" fontId="2" fillId="3" borderId="0" xfId="0" applyFont="1" applyFill="1" applyAlignment="1">
      <alignment horizontal="center"/>
    </xf>
    <xf numFmtId="0" fontId="10" fillId="3" borderId="0" xfId="0" applyFont="1" applyFill="1"/>
  </cellXfs>
  <cellStyles count="3">
    <cellStyle name="Currency" xfId="2" builtinId="4"/>
    <cellStyle name="Normal" xfId="0" builtinId="0"/>
    <cellStyle name="Percent" xfId="1" builtinId="5"/>
  </cellStyles>
  <dxfs count="52">
    <dxf>
      <font>
        <color theme="0"/>
      </font>
    </dxf>
    <dxf>
      <font>
        <color theme="0"/>
      </font>
    </dxf>
    <dxf>
      <font>
        <color theme="0"/>
      </font>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ill>
        <patternFill patternType="solid">
          <bgColor rgb="FF002060"/>
        </patternFill>
      </fill>
    </dxf>
    <dxf>
      <font>
        <color theme="0"/>
      </font>
    </dxf>
    <dxf>
      <font>
        <color theme="0"/>
      </font>
    </dxf>
    <dxf>
      <font>
        <color theme="0"/>
      </font>
    </dxf>
    <dxf>
      <font>
        <color theme="0"/>
      </font>
    </dxf>
    <dxf>
      <font>
        <color theme="0"/>
      </font>
    </dxf>
    <dxf>
      <fill>
        <patternFill patternType="solid">
          <bgColor rgb="FF002060"/>
        </patternFill>
      </fill>
    </dxf>
    <dxf>
      <fill>
        <patternFill patternType="solid">
          <bgColor rgb="FF002060"/>
        </patternFill>
      </fill>
    </dxf>
    <dxf>
      <numFmt numFmtId="166" formatCode="_ &quot;₹&quot;\ * #,##0_ ;_ &quot;₹&quot;\ * \-#,##0_ ;_ &quot;₹&quot;\ * &quot;-&quot;??_ ;_ @_ "/>
    </dxf>
    <dxf>
      <font>
        <color theme="0"/>
      </font>
      <fill>
        <patternFill>
          <bgColor theme="9" tint="-0.499984740745262"/>
        </patternFill>
      </fill>
    </dxf>
    <dxf>
      <font>
        <b/>
        <i val="0"/>
        <color theme="0"/>
      </font>
      <fill>
        <patternFill patternType="solid">
          <bgColor theme="9" tint="-0.499984740745262"/>
        </patternFill>
      </fill>
    </dxf>
    <dxf>
      <font>
        <b/>
        <i val="0"/>
        <color theme="0"/>
      </font>
      <fill>
        <patternFill>
          <bgColor rgb="FFC00000"/>
        </patternFill>
      </fill>
    </dxf>
    <dxf>
      <font>
        <b/>
        <i val="0"/>
        <color theme="0"/>
      </font>
      <fill>
        <patternFill>
          <bgColor rgb="FFC00000"/>
        </patternFill>
      </fill>
    </dxf>
    <dxf>
      <font>
        <color theme="0"/>
      </font>
      <fill>
        <patternFill>
          <bgColor rgb="FFC00000"/>
        </patternFill>
      </fill>
    </dxf>
    <dxf>
      <font>
        <sz val="10"/>
        <color rgb="FF9C0006"/>
        <name val="Arial"/>
      </font>
      <fill>
        <patternFill patternType="solid">
          <fgColor rgb="FFFFC7CE"/>
        </patternFill>
      </fill>
    </dxf>
    <dxf>
      <font>
        <sz val="10"/>
        <color theme="0"/>
        <name val="Arial"/>
      </font>
      <fill>
        <patternFill patternType="solid">
          <fgColor rgb="FFFFC7CE"/>
          <bgColor rgb="FFC00000"/>
        </patternFill>
      </fill>
    </dxf>
    <dxf>
      <font>
        <sz val="10"/>
        <color theme="0"/>
        <name val="Arial"/>
      </font>
      <fill>
        <patternFill patternType="solid">
          <fgColor rgb="FFC6EFCE"/>
          <bgColor theme="9" tint="-0.24994659260841701"/>
        </patternFill>
      </fill>
    </dxf>
    <dxf>
      <font>
        <sz val="10"/>
        <color rgb="FF9C5700"/>
        <name val="Arial"/>
      </font>
      <fill>
        <patternFill patternType="solid">
          <fgColor rgb="FFFFEB9C"/>
        </patternFill>
      </fill>
    </dxf>
    <dxf>
      <font>
        <sz val="10"/>
        <color rgb="FF9C0006"/>
        <name val="Arial"/>
      </font>
      <fill>
        <patternFill patternType="solid">
          <fgColor rgb="FFFFC7CE"/>
        </patternFill>
      </fill>
    </dxf>
    <dxf>
      <font>
        <sz val="10"/>
        <color rgb="FF276221"/>
        <name val="Arial"/>
      </font>
      <fill>
        <patternFill patternType="solid">
          <fgColor rgb="FFC6EFCE"/>
        </patternFill>
      </fill>
    </dxf>
    <dxf>
      <numFmt numFmtId="165" formatCode="mmm"/>
    </dxf>
    <dxf>
      <numFmt numFmtId="165" formatCode="mmm"/>
    </dxf>
    <dxf>
      <numFmt numFmtId="166" formatCode="_ &quot;₹&quot;\ * #,##0_ ;_ &quot;₹&quot;\ * \-#,##0_ ;_ &quot;₹&quot;\ * &quot;-&quot;??_ ;_ @_ "/>
    </dxf>
    <dxf>
      <numFmt numFmtId="165" formatCode="mmm"/>
    </dxf>
    <dxf>
      <numFmt numFmtId="166" formatCode="_ &quot;₹&quot;\ * #,##0_ ;_ &quot;₹&quot;\ * \-#,##0_ ;_ &quot;₹&quot;\ * &quot;-&quot;??_ ;_ @_ "/>
    </dxf>
    <dxf>
      <numFmt numFmtId="165" formatCode="mmm"/>
    </dxf>
    <dxf>
      <numFmt numFmtId="166" formatCode="_ &quot;₹&quot;\ * #,##0_ ;_ &quot;₹&quot;\ * \-#,##0_ ;_ &quot;₹&quot;\ * &quot;-&quot;??_ ;_ @_ "/>
    </dxf>
    <dxf>
      <numFmt numFmtId="166" formatCode="_ &quot;₹&quot;\ * #,##0_ ;_ &quot;₹&quot;\ * \-#,##0_ ;_ &quot;₹&quot;\ * &quot;-&quot;??_ ;_ @_ "/>
    </dxf>
    <dxf>
      <numFmt numFmtId="165" formatCode="mmm"/>
    </dxf>
    <dxf>
      <numFmt numFmtId="165" formatCode="mmm"/>
    </dxf>
    <dxf>
      <numFmt numFmtId="166" formatCode="_ &quot;₹&quot;\ * #,##0_ ;_ &quot;₹&quot;\ * \-#,##0_ ;_ &quot;₹&quot;\ * &quot;-&quot;??_ ;_ @_ "/>
    </dxf>
    <dxf>
      <numFmt numFmtId="166" formatCode="_ &quot;₹&quot;\ * #,##0_ ;_ &quot;₹&quot;\ * \-#,##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[jll accounts project.xlsx]Pivot!PivotTable1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Site wise Average Invoice Value</a:t>
            </a: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Pivot!$B$6</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Pivot!$A$7:$A$10</c:f>
              <c:strCache>
                <c:ptCount val="4"/>
                <c:pt idx="0">
                  <c:v>Gurgaon-Tech</c:v>
                </c:pt>
                <c:pt idx="1">
                  <c:v>Faridabad-Mall</c:v>
                </c:pt>
                <c:pt idx="2">
                  <c:v>Delhi-HQ</c:v>
                </c:pt>
                <c:pt idx="3">
                  <c:v>Noida-Plaza</c:v>
                </c:pt>
              </c:strCache>
            </c:strRef>
          </c:cat>
          <c:val>
            <c:numRef>
              <c:f>Pivot!$B$7:$B$10</c:f>
              <c:numCache>
                <c:formatCode>_ "₹"\ * #,##0_ ;_ "₹"\ * \-#,##0_ ;_ "₹"\ * "-"??_ ;_ @_ </c:formatCode>
                <c:ptCount val="4"/>
                <c:pt idx="0">
                  <c:v>70020.833333333328</c:v>
                </c:pt>
                <c:pt idx="1">
                  <c:v>73723.404255319154</c:v>
                </c:pt>
                <c:pt idx="2">
                  <c:v>85145.833333333328</c:v>
                </c:pt>
                <c:pt idx="3">
                  <c:v>89106.382978723399</c:v>
                </c:pt>
              </c:numCache>
            </c:numRef>
          </c:val>
          <c:extLst>
            <c:ext xmlns:c16="http://schemas.microsoft.com/office/drawing/2014/chart" uri="{C3380CC4-5D6E-409C-BE32-E72D297353CC}">
              <c16:uniqueId val="{00000000-4080-42DB-ACC8-1E8ED0300E2A}"/>
            </c:ext>
          </c:extLst>
        </c:ser>
        <c:dLbls>
          <c:dLblPos val="outEnd"/>
          <c:showLegendKey val="0"/>
          <c:showVal val="1"/>
          <c:showCatName val="0"/>
          <c:showSerName val="0"/>
          <c:showPercent val="0"/>
          <c:showBubbleSize val="0"/>
        </c:dLbls>
        <c:gapWidth val="45"/>
        <c:axId val="421623423"/>
        <c:axId val="421639743"/>
      </c:barChart>
      <c:catAx>
        <c:axId val="421623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21639743"/>
        <c:crosses val="autoZero"/>
        <c:auto val="1"/>
        <c:lblAlgn val="ctr"/>
        <c:lblOffset val="100"/>
        <c:noMultiLvlLbl val="0"/>
      </c:catAx>
      <c:valAx>
        <c:axId val="421639743"/>
        <c:scaling>
          <c:orientation val="minMax"/>
        </c:scaling>
        <c:delete val="1"/>
        <c:axPos val="b"/>
        <c:numFmt formatCode="_ &quot;₹&quot;\ * #,##0_ ;_ &quot;₹&quot;\ * \-#,##0_ ;_ &quot;₹&quot;\ * &quot;-&quot;??_ ;_ @_ " sourceLinked="1"/>
        <c:majorTickMark val="none"/>
        <c:minorTickMark val="none"/>
        <c:tickLblPos val="nextTo"/>
        <c:crossAx val="42162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[jll accounts project.xlsx]Pivot!PivotTable2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Approval</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0206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ln w="19050">
            <a:solidFill>
              <a:schemeClr val="lt1"/>
            </a:solidFill>
          </a:ln>
          <a:effectLst/>
        </c:spPr>
      </c:pivotFmt>
      <c:pivotFmt>
        <c:idx val="7"/>
        <c:spPr>
          <a:solidFill>
            <a:srgbClr val="002060"/>
          </a:solidFill>
          <a:ln w="19050">
            <a:solidFill>
              <a:schemeClr val="lt1"/>
            </a:solidFill>
          </a:ln>
          <a:effectLst/>
        </c:spPr>
      </c:pivotFmt>
      <c:pivotFmt>
        <c:idx val="8"/>
        <c:spPr>
          <a:solidFill>
            <a:srgbClr val="002060"/>
          </a:solidFill>
          <a:ln w="19050">
            <a:solidFill>
              <a:schemeClr val="lt1"/>
            </a:solidFill>
          </a:ln>
          <a:effectLst/>
        </c:spPr>
      </c:pivotFmt>
    </c:pivotFmts>
    <c:plotArea>
      <c:layout/>
      <c:barChart>
        <c:barDir val="bar"/>
        <c:grouping val="clustered"/>
        <c:varyColors val="0"/>
        <c:ser>
          <c:idx val="0"/>
          <c:order val="0"/>
          <c:tx>
            <c:strRef>
              <c:f>Pivot!$I$4</c:f>
              <c:strCache>
                <c:ptCount val="1"/>
                <c:pt idx="0">
                  <c:v>Total</c:v>
                </c:pt>
              </c:strCache>
            </c:strRef>
          </c:tx>
          <c:spPr>
            <a:solidFill>
              <a:srgbClr val="002060"/>
            </a:solidFill>
            <a:ln w="19050">
              <a:solidFill>
                <a:schemeClr val="lt1"/>
              </a:solidFill>
            </a:ln>
            <a:effectLst/>
          </c:spPr>
          <c:invertIfNegative val="0"/>
          <c:dPt>
            <c:idx val="0"/>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1-6E81-4237-82CE-34F7D6054559}"/>
              </c:ext>
            </c:extLst>
          </c:dPt>
          <c:dPt>
            <c:idx val="1"/>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3-6E81-4237-82CE-34F7D6054559}"/>
              </c:ext>
            </c:extLst>
          </c:dPt>
          <c:dPt>
            <c:idx val="2"/>
            <c:invertIfNegative val="0"/>
            <c:bubble3D val="0"/>
            <c:spPr>
              <a:solidFill>
                <a:srgbClr val="002060"/>
              </a:solidFill>
              <a:ln w="19050">
                <a:solidFill>
                  <a:schemeClr val="lt1"/>
                </a:solidFill>
              </a:ln>
              <a:effectLst/>
            </c:spPr>
            <c:extLst>
              <c:ext xmlns:c16="http://schemas.microsoft.com/office/drawing/2014/chart" uri="{C3380CC4-5D6E-409C-BE32-E72D297353CC}">
                <c16:uniqueId val="{00000005-6E81-4237-82CE-34F7D6054559}"/>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Pivot!$H$5:$H$7</c:f>
              <c:strCache>
                <c:ptCount val="3"/>
                <c:pt idx="0">
                  <c:v>Pending</c:v>
                </c:pt>
                <c:pt idx="1">
                  <c:v>On Hold</c:v>
                </c:pt>
                <c:pt idx="2">
                  <c:v>Approved</c:v>
                </c:pt>
              </c:strCache>
            </c:strRef>
          </c:cat>
          <c:val>
            <c:numRef>
              <c:f>Pivot!$I$5:$I$7</c:f>
              <c:numCache>
                <c:formatCode>General</c:formatCode>
                <c:ptCount val="3"/>
                <c:pt idx="0">
                  <c:v>9</c:v>
                </c:pt>
                <c:pt idx="1">
                  <c:v>26</c:v>
                </c:pt>
                <c:pt idx="2">
                  <c:v>165</c:v>
                </c:pt>
              </c:numCache>
            </c:numRef>
          </c:val>
          <c:extLst>
            <c:ext xmlns:c16="http://schemas.microsoft.com/office/drawing/2014/chart" uri="{C3380CC4-5D6E-409C-BE32-E72D297353CC}">
              <c16:uniqueId val="{00000006-D3E8-4BA9-882F-0E7F81B159B7}"/>
            </c:ext>
          </c:extLst>
        </c:ser>
        <c:dLbls>
          <c:dLblPos val="outEnd"/>
          <c:showLegendKey val="0"/>
          <c:showVal val="1"/>
          <c:showCatName val="0"/>
          <c:showSerName val="0"/>
          <c:showPercent val="0"/>
          <c:showBubbleSize val="0"/>
        </c:dLbls>
        <c:gapWidth val="100"/>
        <c:axId val="235038960"/>
        <c:axId val="235048560"/>
      </c:barChart>
      <c:valAx>
        <c:axId val="235048560"/>
        <c:scaling>
          <c:orientation val="minMax"/>
        </c:scaling>
        <c:delete val="1"/>
        <c:axPos val="b"/>
        <c:numFmt formatCode="General" sourceLinked="1"/>
        <c:majorTickMark val="out"/>
        <c:minorTickMark val="none"/>
        <c:tickLblPos val="nextTo"/>
        <c:crossAx val="235038960"/>
        <c:crosses val="autoZero"/>
        <c:crossBetween val="between"/>
      </c:valAx>
      <c:catAx>
        <c:axId val="2350389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3504856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[jll accounts project.xlsx]Pivot!PivotTable3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Amount</a:t>
            </a:r>
            <a:r>
              <a:rPr lang="en-IN" baseline="0"/>
              <a:t> by Vender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371270903643638E-2"/>
          <c:y val="0.14914306845442588"/>
          <c:w val="0.93352873622323929"/>
          <c:h val="0.58010373153242922"/>
        </c:manualLayout>
      </c:layout>
      <c:barChart>
        <c:barDir val="col"/>
        <c:grouping val="clustered"/>
        <c:varyColors val="0"/>
        <c:ser>
          <c:idx val="0"/>
          <c:order val="0"/>
          <c:tx>
            <c:strRef>
              <c:f>Pivot!$B$15</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Pivot!$A$16:$A$20</c:f>
              <c:strCache>
                <c:ptCount val="5"/>
                <c:pt idx="0">
                  <c:v>Singh &amp; Co</c:v>
                </c:pt>
                <c:pt idx="1">
                  <c:v>Mehta Contractors</c:v>
                </c:pt>
                <c:pt idx="2">
                  <c:v>Verma Facilities</c:v>
                </c:pt>
                <c:pt idx="3">
                  <c:v>Gupta Electricals</c:v>
                </c:pt>
                <c:pt idx="4">
                  <c:v>Sharma Supplies</c:v>
                </c:pt>
              </c:strCache>
            </c:strRef>
          </c:cat>
          <c:val>
            <c:numRef>
              <c:f>Pivot!$B$16:$B$20</c:f>
              <c:numCache>
                <c:formatCode>_ "₹"\ * #,##0_ ;_ "₹"\ * \-#,##0_ ;_ "₹"\ * "-"??_ ;_ @_ </c:formatCode>
                <c:ptCount val="5"/>
                <c:pt idx="0">
                  <c:v>5395000</c:v>
                </c:pt>
                <c:pt idx="1">
                  <c:v>3271000</c:v>
                </c:pt>
                <c:pt idx="2">
                  <c:v>2812000</c:v>
                </c:pt>
                <c:pt idx="3">
                  <c:v>2134000</c:v>
                </c:pt>
                <c:pt idx="4">
                  <c:v>1489000</c:v>
                </c:pt>
              </c:numCache>
            </c:numRef>
          </c:val>
          <c:extLst>
            <c:ext xmlns:c16="http://schemas.microsoft.com/office/drawing/2014/chart" uri="{C3380CC4-5D6E-409C-BE32-E72D297353CC}">
              <c16:uniqueId val="{00000000-E916-4EED-AB6A-3A9DF80D488A}"/>
            </c:ext>
          </c:extLst>
        </c:ser>
        <c:dLbls>
          <c:dLblPos val="outEnd"/>
          <c:showLegendKey val="0"/>
          <c:showVal val="1"/>
          <c:showCatName val="0"/>
          <c:showSerName val="0"/>
          <c:showPercent val="0"/>
          <c:showBubbleSize val="0"/>
        </c:dLbls>
        <c:gapWidth val="219"/>
        <c:axId val="1630492303"/>
        <c:axId val="1630494703"/>
      </c:barChart>
      <c:catAx>
        <c:axId val="163049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500000" spcFirstLastPara="1" vertOverflow="ellipsis"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30494703"/>
        <c:crosses val="autoZero"/>
        <c:auto val="1"/>
        <c:lblAlgn val="ctr"/>
        <c:lblOffset val="100"/>
        <c:noMultiLvlLbl val="0"/>
      </c:catAx>
      <c:valAx>
        <c:axId val="1630494703"/>
        <c:scaling>
          <c:orientation val="minMax"/>
        </c:scaling>
        <c:delete val="1"/>
        <c:axPos val="l"/>
        <c:numFmt formatCode="_ &quot;₹&quot;\ * #,##0_ ;_ &quot;₹&quot;\ * \-#,##0_ ;_ &quot;₹&quot;\ * &quot;-&quot;??_ ;_ @_ " sourceLinked="1"/>
        <c:majorTickMark val="none"/>
        <c:minorTickMark val="none"/>
        <c:tickLblPos val="nextTo"/>
        <c:crossAx val="16304923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[jll accounts project.xlsx]Pivot!PivotTable4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t>Monthly Invoice Amount &amp; Volume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Pivot!$E$4</c:f>
              <c:strCache>
                <c:ptCount val="1"/>
                <c:pt idx="0">
                  <c:v>Amount</c:v>
                </c:pt>
              </c:strCache>
            </c:strRef>
          </c:tx>
          <c:spPr>
            <a:solidFill>
              <a:srgbClr val="002060"/>
            </a:solidFill>
            <a:ln>
              <a:noFill/>
            </a:ln>
            <a:effectLst/>
          </c:spPr>
          <c:invertIfNegative val="0"/>
          <c:cat>
            <c:strRef>
              <c:f>Pivot!$D$5:$D$11</c:f>
              <c:strCache>
                <c:ptCount val="7"/>
                <c:pt idx="0">
                  <c:v>Jan</c:v>
                </c:pt>
                <c:pt idx="1">
                  <c:v>Feb</c:v>
                </c:pt>
                <c:pt idx="2">
                  <c:v>Mar</c:v>
                </c:pt>
                <c:pt idx="3">
                  <c:v>Apr</c:v>
                </c:pt>
                <c:pt idx="4">
                  <c:v>May</c:v>
                </c:pt>
                <c:pt idx="5">
                  <c:v>Jun</c:v>
                </c:pt>
                <c:pt idx="6">
                  <c:v>Jul</c:v>
                </c:pt>
              </c:strCache>
            </c:strRef>
          </c:cat>
          <c:val>
            <c:numRef>
              <c:f>Pivot!$E$5:$E$11</c:f>
              <c:numCache>
                <c:formatCode>_ "₹"\ * #,##0_ ;_ "₹"\ * \-#,##0_ ;_ "₹"\ * "-"??_ ;_ @_ </c:formatCode>
                <c:ptCount val="7"/>
                <c:pt idx="0">
                  <c:v>2914000</c:v>
                </c:pt>
                <c:pt idx="1">
                  <c:v>2392000</c:v>
                </c:pt>
                <c:pt idx="2">
                  <c:v>2680000</c:v>
                </c:pt>
                <c:pt idx="3">
                  <c:v>2562000</c:v>
                </c:pt>
                <c:pt idx="4">
                  <c:v>1918000</c:v>
                </c:pt>
                <c:pt idx="5">
                  <c:v>2495000</c:v>
                </c:pt>
                <c:pt idx="6">
                  <c:v>828000</c:v>
                </c:pt>
              </c:numCache>
            </c:numRef>
          </c:val>
          <c:extLst>
            <c:ext xmlns:c16="http://schemas.microsoft.com/office/drawing/2014/chart" uri="{C3380CC4-5D6E-409C-BE32-E72D297353CC}">
              <c16:uniqueId val="{00000000-23DD-4E51-A61E-DD4D5C4F954E}"/>
            </c:ext>
          </c:extLst>
        </c:ser>
        <c:dLbls>
          <c:showLegendKey val="0"/>
          <c:showVal val="0"/>
          <c:showCatName val="0"/>
          <c:showSerName val="0"/>
          <c:showPercent val="0"/>
          <c:showBubbleSize val="0"/>
        </c:dLbls>
        <c:gapWidth val="219"/>
        <c:axId val="1589682879"/>
        <c:axId val="1589679519"/>
      </c:barChart>
      <c:lineChart>
        <c:grouping val="standard"/>
        <c:varyColors val="0"/>
        <c:ser>
          <c:idx val="1"/>
          <c:order val="1"/>
          <c:tx>
            <c:strRef>
              <c:f>Pivot!$F$4</c:f>
              <c:strCache>
                <c:ptCount val="1"/>
                <c:pt idx="0">
                  <c:v>Total Invoices</c:v>
                </c:pt>
              </c:strCache>
            </c:strRef>
          </c:tx>
          <c:spPr>
            <a:ln w="28575" cap="rnd">
              <a:solidFill>
                <a:schemeClr val="bg1">
                  <a:lumMod val="75000"/>
                </a:schemeClr>
              </a:solidFill>
              <a:round/>
            </a:ln>
            <a:effectLst/>
          </c:spPr>
          <c:marker>
            <c:symbol val="none"/>
          </c:marker>
          <c:cat>
            <c:strRef>
              <c:f>Pivot!$D$5:$D$11</c:f>
              <c:strCache>
                <c:ptCount val="7"/>
                <c:pt idx="0">
                  <c:v>Jan</c:v>
                </c:pt>
                <c:pt idx="1">
                  <c:v>Feb</c:v>
                </c:pt>
                <c:pt idx="2">
                  <c:v>Mar</c:v>
                </c:pt>
                <c:pt idx="3">
                  <c:v>Apr</c:v>
                </c:pt>
                <c:pt idx="4">
                  <c:v>May</c:v>
                </c:pt>
                <c:pt idx="5">
                  <c:v>Jun</c:v>
                </c:pt>
                <c:pt idx="6">
                  <c:v>Jul</c:v>
                </c:pt>
              </c:strCache>
            </c:strRef>
          </c:cat>
          <c:val>
            <c:numRef>
              <c:f>Pivot!$F$5:$F$11</c:f>
              <c:numCache>
                <c:formatCode>General</c:formatCode>
                <c:ptCount val="7"/>
                <c:pt idx="0">
                  <c:v>40</c:v>
                </c:pt>
                <c:pt idx="1">
                  <c:v>29</c:v>
                </c:pt>
                <c:pt idx="2">
                  <c:v>31</c:v>
                </c:pt>
                <c:pt idx="3">
                  <c:v>30</c:v>
                </c:pt>
                <c:pt idx="4">
                  <c:v>30</c:v>
                </c:pt>
                <c:pt idx="5">
                  <c:v>30</c:v>
                </c:pt>
                <c:pt idx="6">
                  <c:v>10</c:v>
                </c:pt>
              </c:numCache>
            </c:numRef>
          </c:val>
          <c:smooth val="0"/>
          <c:extLst>
            <c:ext xmlns:c16="http://schemas.microsoft.com/office/drawing/2014/chart" uri="{C3380CC4-5D6E-409C-BE32-E72D297353CC}">
              <c16:uniqueId val="{00000001-23DD-4E51-A61E-DD4D5C4F954E}"/>
            </c:ext>
          </c:extLst>
        </c:ser>
        <c:dLbls>
          <c:showLegendKey val="0"/>
          <c:showVal val="0"/>
          <c:showCatName val="0"/>
          <c:showSerName val="0"/>
          <c:showPercent val="0"/>
          <c:showBubbleSize val="0"/>
        </c:dLbls>
        <c:marker val="1"/>
        <c:smooth val="0"/>
        <c:axId val="235029840"/>
        <c:axId val="235013040"/>
      </c:lineChart>
      <c:catAx>
        <c:axId val="158968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89679519"/>
        <c:crosses val="autoZero"/>
        <c:auto val="1"/>
        <c:lblAlgn val="ctr"/>
        <c:lblOffset val="100"/>
        <c:noMultiLvlLbl val="0"/>
      </c:catAx>
      <c:valAx>
        <c:axId val="1589679519"/>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589682879"/>
        <c:crosses val="autoZero"/>
        <c:crossBetween val="between"/>
      </c:valAx>
      <c:valAx>
        <c:axId val="2350130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35029840"/>
        <c:crosses val="max"/>
        <c:crossBetween val="between"/>
      </c:valAx>
      <c:catAx>
        <c:axId val="235029840"/>
        <c:scaling>
          <c:orientation val="minMax"/>
        </c:scaling>
        <c:delete val="1"/>
        <c:axPos val="b"/>
        <c:numFmt formatCode="General" sourceLinked="1"/>
        <c:majorTickMark val="out"/>
        <c:minorTickMark val="none"/>
        <c:tickLblPos val="nextTo"/>
        <c:crossAx val="2350130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[jll accounts project.xlsx]Pivot!PivotTable8</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Overdue</a:t>
            </a:r>
            <a:r>
              <a:rPr lang="en-IN" baseline="0"/>
              <a:t> Invoices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Pivot!$E$16</c:f>
              <c:strCache>
                <c:ptCount val="1"/>
                <c:pt idx="0">
                  <c:v>Total</c:v>
                </c:pt>
              </c:strCache>
            </c:strRef>
          </c:tx>
          <c:spPr>
            <a:ln w="28575" cap="rnd">
              <a:solidFill>
                <a:srgbClr val="00206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Pivot!$D$17:$D$23</c:f>
              <c:strCache>
                <c:ptCount val="7"/>
                <c:pt idx="0">
                  <c:v>Jan</c:v>
                </c:pt>
                <c:pt idx="1">
                  <c:v>Feb</c:v>
                </c:pt>
                <c:pt idx="2">
                  <c:v>Mar</c:v>
                </c:pt>
                <c:pt idx="3">
                  <c:v>Apr</c:v>
                </c:pt>
                <c:pt idx="4">
                  <c:v>May</c:v>
                </c:pt>
                <c:pt idx="5">
                  <c:v>Jun</c:v>
                </c:pt>
                <c:pt idx="6">
                  <c:v>Jul</c:v>
                </c:pt>
              </c:strCache>
            </c:strRef>
          </c:cat>
          <c:val>
            <c:numRef>
              <c:f>Pivot!$E$17:$E$23</c:f>
              <c:numCache>
                <c:formatCode>General</c:formatCode>
                <c:ptCount val="7"/>
                <c:pt idx="0">
                  <c:v>5</c:v>
                </c:pt>
                <c:pt idx="1">
                  <c:v>2</c:v>
                </c:pt>
                <c:pt idx="2">
                  <c:v>9</c:v>
                </c:pt>
                <c:pt idx="3">
                  <c:v>2</c:v>
                </c:pt>
                <c:pt idx="4">
                  <c:v>2</c:v>
                </c:pt>
                <c:pt idx="5">
                  <c:v>3</c:v>
                </c:pt>
                <c:pt idx="6">
                  <c:v>2</c:v>
                </c:pt>
              </c:numCache>
            </c:numRef>
          </c:val>
          <c:smooth val="0"/>
          <c:extLst>
            <c:ext xmlns:c16="http://schemas.microsoft.com/office/drawing/2014/chart" uri="{C3380CC4-5D6E-409C-BE32-E72D297353CC}">
              <c16:uniqueId val="{00000000-492B-44EB-807A-AB8529B07A25}"/>
            </c:ext>
          </c:extLst>
        </c:ser>
        <c:dLbls>
          <c:dLblPos val="t"/>
          <c:showLegendKey val="0"/>
          <c:showVal val="1"/>
          <c:showCatName val="0"/>
          <c:showSerName val="0"/>
          <c:showPercent val="0"/>
          <c:showBubbleSize val="0"/>
        </c:dLbls>
        <c:smooth val="0"/>
        <c:axId val="235069680"/>
        <c:axId val="235070160"/>
      </c:lineChart>
      <c:catAx>
        <c:axId val="23506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35070160"/>
        <c:crosses val="autoZero"/>
        <c:auto val="1"/>
        <c:lblAlgn val="ctr"/>
        <c:lblOffset val="100"/>
        <c:noMultiLvlLbl val="0"/>
      </c:catAx>
      <c:valAx>
        <c:axId val="235070160"/>
        <c:scaling>
          <c:orientation val="minMax"/>
        </c:scaling>
        <c:delete val="1"/>
        <c:axPos val="l"/>
        <c:numFmt formatCode="General" sourceLinked="1"/>
        <c:majorTickMark val="none"/>
        <c:minorTickMark val="none"/>
        <c:tickLblPos val="nextTo"/>
        <c:crossAx val="23506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199119</xdr:colOff>
      <xdr:row>40</xdr:row>
      <xdr:rowOff>10763</xdr:rowOff>
    </xdr:from>
    <xdr:to>
      <xdr:col>5</xdr:col>
      <xdr:colOff>452033</xdr:colOff>
      <xdr:row>53</xdr:row>
      <xdr:rowOff>53814</xdr:rowOff>
    </xdr:to>
    <xdr:graphicFrame macro="">
      <xdr:nvGraphicFramePr>
        <xdr:cNvPr id="2" name="Chart 1">
          <a:extLst>
            <a:ext uri="{FF2B5EF4-FFF2-40B4-BE49-F238E27FC236}">
              <a16:creationId xmlns:a16="http://schemas.microsoft.com/office/drawing/2014/main" id="{DBDAAD04-6236-4663-B854-3A05DB86A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125290</xdr:colOff>
      <xdr:row>40</xdr:row>
      <xdr:rowOff>0</xdr:rowOff>
    </xdr:from>
    <xdr:to>
      <xdr:col>2</xdr:col>
      <xdr:colOff>118389</xdr:colOff>
      <xdr:row>53</xdr:row>
      <xdr:rowOff>47251</xdr:rowOff>
    </xdr:to>
    <xdr:graphicFrame macro="">
      <xdr:nvGraphicFramePr>
        <xdr:cNvPr id="3" name="Chart 2">
          <a:extLst>
            <a:ext uri="{FF2B5EF4-FFF2-40B4-BE49-F238E27FC236}">
              <a16:creationId xmlns:a16="http://schemas.microsoft.com/office/drawing/2014/main" id="{C58CCBDD-4331-48D2-ABD9-0BADA763A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536368</xdr:colOff>
      <xdr:row>40</xdr:row>
      <xdr:rowOff>10979</xdr:rowOff>
    </xdr:from>
    <xdr:to>
      <xdr:col>13</xdr:col>
      <xdr:colOff>62487</xdr:colOff>
      <xdr:row>53</xdr:row>
      <xdr:rowOff>75340</xdr:rowOff>
    </xdr:to>
    <xdr:graphicFrame macro="">
      <xdr:nvGraphicFramePr>
        <xdr:cNvPr id="6" name="Chart 5">
          <a:extLst>
            <a:ext uri="{FF2B5EF4-FFF2-40B4-BE49-F238E27FC236}">
              <a16:creationId xmlns:a16="http://schemas.microsoft.com/office/drawing/2014/main" id="{C4112750-3F46-4F0D-BD04-9C87E8331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107627</xdr:colOff>
      <xdr:row>26</xdr:row>
      <xdr:rowOff>0</xdr:rowOff>
    </xdr:from>
    <xdr:to>
      <xdr:col>3</xdr:col>
      <xdr:colOff>216829</xdr:colOff>
      <xdr:row>39</xdr:row>
      <xdr:rowOff>86100</xdr:rowOff>
    </xdr:to>
    <xdr:graphicFrame macro="">
      <xdr:nvGraphicFramePr>
        <xdr:cNvPr id="7" name="Chart 6">
          <a:extLst>
            <a:ext uri="{FF2B5EF4-FFF2-40B4-BE49-F238E27FC236}">
              <a16:creationId xmlns:a16="http://schemas.microsoft.com/office/drawing/2014/main" id="{ACB517CA-08B6-463A-9B23-3074B9D59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249619</xdr:colOff>
      <xdr:row>26</xdr:row>
      <xdr:rowOff>9313</xdr:rowOff>
    </xdr:from>
    <xdr:to>
      <xdr:col>8</xdr:col>
      <xdr:colOff>602712</xdr:colOff>
      <xdr:row>35</xdr:row>
      <xdr:rowOff>150678</xdr:rowOff>
    </xdr:to>
    <mc:AlternateContent xmlns:mc="http://schemas.openxmlformats.org/markup-compatibility/2006" xmlns:a14="http://schemas.microsoft.com/office/drawing/2010/main">
      <mc:Choice Requires="a14">
        <xdr:graphicFrame macro="">
          <xdr:nvGraphicFramePr>
            <xdr:cNvPr id="15" name="Vendor Name">
              <a:extLst>
                <a:ext uri="{FF2B5EF4-FFF2-40B4-BE49-F238E27FC236}">
                  <a16:creationId xmlns:a16="http://schemas.microsoft.com/office/drawing/2014/main" id="{4D7509FF-8064-80E9-E7D1-5887C7F2AE8D}"/>
                </a:ext>
              </a:extLst>
            </xdr:cNvPr>
            <xdr:cNvGraphicFramePr/>
          </xdr:nvGraphicFramePr>
          <xdr:xfrm>
            <a:off x="0" y="0"/>
            <a:ext cx="0" cy="0"/>
          </xdr:xfrm>
          <a:graphic>
            <a:graphicData uri="http://schemas.microsoft.com/office/drawing/2010/slicer">
              <sle:slicer xmlns:sle="http://schemas.microsoft.com/office/drawing/2010/slicer" name="Vendor Name"/>
            </a:graphicData>
          </a:graphic>
        </xdr:graphicFrame>
      </mc:Choice>
      <mc:Fallback xmlns="">
        <xdr:sp macro="" textlink="">
          <xdr:nvSpPr>
            <xdr:cNvPr id="0" name=""/>
            <xdr:cNvSpPr>
              <a:spLocks noTextEdit="1"/>
            </xdr:cNvSpPr>
          </xdr:nvSpPr>
          <xdr:spPr>
            <a:xfrm>
              <a:off x="8874074" y="4893040"/>
              <a:ext cx="1576911" cy="1803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98031</xdr:colOff>
      <xdr:row>26</xdr:row>
      <xdr:rowOff>5696</xdr:rowOff>
    </xdr:from>
    <xdr:to>
      <xdr:col>11</xdr:col>
      <xdr:colOff>247542</xdr:colOff>
      <xdr:row>35</xdr:row>
      <xdr:rowOff>127000</xdr:rowOff>
    </xdr:to>
    <mc:AlternateContent xmlns:mc="http://schemas.openxmlformats.org/markup-compatibility/2006" xmlns:a14="http://schemas.microsoft.com/office/drawing/2010/main">
      <mc:Choice Requires="a14">
        <xdr:graphicFrame macro="">
          <xdr:nvGraphicFramePr>
            <xdr:cNvPr id="16" name="Site Name">
              <a:extLst>
                <a:ext uri="{FF2B5EF4-FFF2-40B4-BE49-F238E27FC236}">
                  <a16:creationId xmlns:a16="http://schemas.microsoft.com/office/drawing/2014/main" id="{E6F87509-21D2-F157-F7CA-9BD21CC714B9}"/>
                </a:ext>
              </a:extLst>
            </xdr:cNvPr>
            <xdr:cNvGraphicFramePr/>
          </xdr:nvGraphicFramePr>
          <xdr:xfrm>
            <a:off x="0" y="0"/>
            <a:ext cx="0" cy="0"/>
          </xdr:xfrm>
          <a:graphic>
            <a:graphicData uri="http://schemas.microsoft.com/office/drawing/2010/slicer">
              <sle:slicer xmlns:sle="http://schemas.microsoft.com/office/drawing/2010/slicer" name="Site Name"/>
            </a:graphicData>
          </a:graphic>
        </xdr:graphicFrame>
      </mc:Choice>
      <mc:Fallback xmlns="">
        <xdr:sp macro="" textlink="">
          <xdr:nvSpPr>
            <xdr:cNvPr id="0" name=""/>
            <xdr:cNvSpPr>
              <a:spLocks noTextEdit="1"/>
            </xdr:cNvSpPr>
          </xdr:nvSpPr>
          <xdr:spPr>
            <a:xfrm>
              <a:off x="10558213" y="4889423"/>
              <a:ext cx="1373329" cy="1783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243985</xdr:colOff>
      <xdr:row>36</xdr:row>
      <xdr:rowOff>43051</xdr:rowOff>
    </xdr:from>
    <xdr:to>
      <xdr:col>13</xdr:col>
      <xdr:colOff>86101</xdr:colOff>
      <xdr:row>39</xdr:row>
      <xdr:rowOff>118389</xdr:rowOff>
    </xdr:to>
    <mc:AlternateContent xmlns:mc="http://schemas.openxmlformats.org/markup-compatibility/2006" xmlns:a14="http://schemas.microsoft.com/office/drawing/2010/main">
      <mc:Choice Requires="a14">
        <xdr:graphicFrame macro="">
          <xdr:nvGraphicFramePr>
            <xdr:cNvPr id="18" name="Cost Center">
              <a:extLst>
                <a:ext uri="{FF2B5EF4-FFF2-40B4-BE49-F238E27FC236}">
                  <a16:creationId xmlns:a16="http://schemas.microsoft.com/office/drawing/2014/main" id="{F1F1E254-B957-0B73-EFBE-BB5261366A94}"/>
                </a:ext>
              </a:extLst>
            </xdr:cNvPr>
            <xdr:cNvGraphicFramePr/>
          </xdr:nvGraphicFramePr>
          <xdr:xfrm>
            <a:off x="0" y="0"/>
            <a:ext cx="0" cy="0"/>
          </xdr:xfrm>
          <a:graphic>
            <a:graphicData uri="http://schemas.microsoft.com/office/drawing/2010/slicer">
              <sle:slicer xmlns:sle="http://schemas.microsoft.com/office/drawing/2010/slicer" name="Cost Center"/>
            </a:graphicData>
          </a:graphic>
        </xdr:graphicFrame>
      </mc:Choice>
      <mc:Fallback xmlns="">
        <xdr:sp macro="" textlink="">
          <xdr:nvSpPr>
            <xdr:cNvPr id="0" name=""/>
            <xdr:cNvSpPr>
              <a:spLocks noTextEdit="1"/>
            </xdr:cNvSpPr>
          </xdr:nvSpPr>
          <xdr:spPr>
            <a:xfrm>
              <a:off x="8868440" y="6774051"/>
              <a:ext cx="4125479" cy="629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301895</xdr:colOff>
      <xdr:row>26</xdr:row>
      <xdr:rowOff>17756</xdr:rowOff>
    </xdr:from>
    <xdr:to>
      <xdr:col>13</xdr:col>
      <xdr:colOff>96865</xdr:colOff>
      <xdr:row>35</xdr:row>
      <xdr:rowOff>139700</xdr:rowOff>
    </xdr:to>
    <mc:AlternateContent xmlns:mc="http://schemas.openxmlformats.org/markup-compatibility/2006" xmlns:a14="http://schemas.microsoft.com/office/drawing/2010/main">
      <mc:Choice Requires="a14">
        <xdr:graphicFrame macro="">
          <xdr:nvGraphicFramePr>
            <xdr:cNvPr id="19" name="Approval Status">
              <a:extLst>
                <a:ext uri="{FF2B5EF4-FFF2-40B4-BE49-F238E27FC236}">
                  <a16:creationId xmlns:a16="http://schemas.microsoft.com/office/drawing/2014/main" id="{A3B50415-B34F-CF1A-6443-6569A779F7BB}"/>
                </a:ext>
              </a:extLst>
            </xdr:cNvPr>
            <xdr:cNvGraphicFramePr/>
          </xdr:nvGraphicFramePr>
          <xdr:xfrm>
            <a:off x="0" y="0"/>
            <a:ext cx="0" cy="0"/>
          </xdr:xfrm>
          <a:graphic>
            <a:graphicData uri="http://schemas.microsoft.com/office/drawing/2010/slicer">
              <sle:slicer xmlns:sle="http://schemas.microsoft.com/office/drawing/2010/slicer" name="Approval Status"/>
            </a:graphicData>
          </a:graphic>
        </xdr:graphicFrame>
      </mc:Choice>
      <mc:Fallback xmlns="">
        <xdr:sp macro="" textlink="">
          <xdr:nvSpPr>
            <xdr:cNvPr id="0" name=""/>
            <xdr:cNvSpPr>
              <a:spLocks noTextEdit="1"/>
            </xdr:cNvSpPr>
          </xdr:nvSpPr>
          <xdr:spPr>
            <a:xfrm>
              <a:off x="11985895" y="4901483"/>
              <a:ext cx="1018788" cy="17844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136648</xdr:colOff>
      <xdr:row>19</xdr:row>
      <xdr:rowOff>152138</xdr:rowOff>
    </xdr:from>
    <xdr:to>
      <xdr:col>1</xdr:col>
      <xdr:colOff>1415012</xdr:colOff>
      <xdr:row>24</xdr:row>
      <xdr:rowOff>140055</xdr:rowOff>
    </xdr:to>
    <xdr:grpSp>
      <xdr:nvGrpSpPr>
        <xdr:cNvPr id="35" name="Group 34">
          <a:extLst>
            <a:ext uri="{FF2B5EF4-FFF2-40B4-BE49-F238E27FC236}">
              <a16:creationId xmlns:a16="http://schemas.microsoft.com/office/drawing/2014/main" id="{00FC5BDB-FC41-17C1-70CF-BE13FC006DA3}"/>
            </a:ext>
          </a:extLst>
        </xdr:cNvPr>
        <xdr:cNvGrpSpPr/>
      </xdr:nvGrpSpPr>
      <xdr:grpSpPr>
        <a:xfrm>
          <a:off x="136648" y="3742774"/>
          <a:ext cx="1440000" cy="911554"/>
          <a:chOff x="136647" y="3615803"/>
          <a:chExt cx="1961264" cy="1085126"/>
        </a:xfrm>
      </xdr:grpSpPr>
      <xdr:sp macro="" textlink="">
        <xdr:nvSpPr>
          <xdr:cNvPr id="4" name="Rectangle: Rounded Corners 3">
            <a:extLst>
              <a:ext uri="{FF2B5EF4-FFF2-40B4-BE49-F238E27FC236}">
                <a16:creationId xmlns:a16="http://schemas.microsoft.com/office/drawing/2014/main" id="{7D4FE00E-B7F0-DE1E-9E8A-5D4025567DCF}"/>
              </a:ext>
            </a:extLst>
          </xdr:cNvPr>
          <xdr:cNvSpPr/>
        </xdr:nvSpPr>
        <xdr:spPr>
          <a:xfrm>
            <a:off x="136647" y="3615803"/>
            <a:ext cx="1961264" cy="1085126"/>
          </a:xfrm>
          <a:prstGeom prst="roundRect">
            <a:avLst>
              <a:gd name="adj" fmla="val 1070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MIS Report'!B2">
        <xdr:nvSpPr>
          <xdr:cNvPr id="9" name="TextBox 8">
            <a:extLst>
              <a:ext uri="{FF2B5EF4-FFF2-40B4-BE49-F238E27FC236}">
                <a16:creationId xmlns:a16="http://schemas.microsoft.com/office/drawing/2014/main" id="{5510E1B6-5F37-C54E-3256-B2CA89F12E56}"/>
              </a:ext>
            </a:extLst>
          </xdr:cNvPr>
          <xdr:cNvSpPr txBox="1"/>
        </xdr:nvSpPr>
        <xdr:spPr>
          <a:xfrm>
            <a:off x="164029" y="4010759"/>
            <a:ext cx="1882792" cy="670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E498BD-B47D-4F51-A886-8689B86F5174}" type="TxLink">
              <a:rPr lang="en-US" sz="1800" b="1" i="0" u="none" strike="noStrike">
                <a:solidFill>
                  <a:schemeClr val="bg1"/>
                </a:solidFill>
                <a:latin typeface="Calibri"/>
                <a:cs typeface="Calibri"/>
              </a:rPr>
              <a:pPr algn="ctr"/>
              <a:t>200</a:t>
            </a:fld>
            <a:endParaRPr lang="en-IN" sz="1800" b="1">
              <a:solidFill>
                <a:schemeClr val="bg1"/>
              </a:solidFill>
            </a:endParaRPr>
          </a:p>
        </xdr:txBody>
      </xdr:sp>
      <xdr:sp macro="" textlink="">
        <xdr:nvSpPr>
          <xdr:cNvPr id="20" name="TextBox 19">
            <a:extLst>
              <a:ext uri="{FF2B5EF4-FFF2-40B4-BE49-F238E27FC236}">
                <a16:creationId xmlns:a16="http://schemas.microsoft.com/office/drawing/2014/main" id="{B8845FCE-8875-45EF-A9F9-205317559507}"/>
              </a:ext>
            </a:extLst>
          </xdr:cNvPr>
          <xdr:cNvSpPr txBox="1"/>
        </xdr:nvSpPr>
        <xdr:spPr>
          <a:xfrm>
            <a:off x="164029" y="3615803"/>
            <a:ext cx="1882792" cy="344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Calibri"/>
                <a:cs typeface="Calibri"/>
              </a:rPr>
              <a:t>Total</a:t>
            </a:r>
            <a:r>
              <a:rPr lang="en-US" sz="1400" b="1" i="0" u="none" strike="noStrike" baseline="0">
                <a:solidFill>
                  <a:schemeClr val="bg1"/>
                </a:solidFill>
                <a:latin typeface="Calibri"/>
                <a:cs typeface="Calibri"/>
              </a:rPr>
              <a:t> Invoices</a:t>
            </a:r>
            <a:endParaRPr lang="en-US" sz="1400" b="1" i="0" u="none" strike="noStrike">
              <a:solidFill>
                <a:schemeClr val="bg1"/>
              </a:solidFill>
              <a:latin typeface="Calibri"/>
              <a:cs typeface="Calibri"/>
            </a:endParaRPr>
          </a:p>
        </xdr:txBody>
      </xdr:sp>
    </xdr:grpSp>
    <xdr:clientData/>
  </xdr:twoCellAnchor>
  <xdr:twoCellAnchor>
    <xdr:from>
      <xdr:col>1</xdr:col>
      <xdr:colOff>1851701</xdr:colOff>
      <xdr:row>19</xdr:row>
      <xdr:rowOff>152138</xdr:rowOff>
    </xdr:from>
    <xdr:to>
      <xdr:col>1</xdr:col>
      <xdr:colOff>3435701</xdr:colOff>
      <xdr:row>25</xdr:row>
      <xdr:rowOff>5715</xdr:rowOff>
    </xdr:to>
    <xdr:grpSp>
      <xdr:nvGrpSpPr>
        <xdr:cNvPr id="36" name="Group 35">
          <a:extLst>
            <a:ext uri="{FF2B5EF4-FFF2-40B4-BE49-F238E27FC236}">
              <a16:creationId xmlns:a16="http://schemas.microsoft.com/office/drawing/2014/main" id="{24001A46-90EB-F993-2261-C5E58414EAAF}"/>
            </a:ext>
          </a:extLst>
        </xdr:cNvPr>
        <xdr:cNvGrpSpPr/>
      </xdr:nvGrpSpPr>
      <xdr:grpSpPr>
        <a:xfrm>
          <a:off x="2013337" y="3742774"/>
          <a:ext cx="1584000" cy="961941"/>
          <a:chOff x="2295366" y="3615803"/>
          <a:chExt cx="1961264" cy="1145212"/>
        </a:xfrm>
      </xdr:grpSpPr>
      <xdr:sp macro="" textlink="">
        <xdr:nvSpPr>
          <xdr:cNvPr id="30" name="Rectangle: Rounded Corners 29">
            <a:extLst>
              <a:ext uri="{FF2B5EF4-FFF2-40B4-BE49-F238E27FC236}">
                <a16:creationId xmlns:a16="http://schemas.microsoft.com/office/drawing/2014/main" id="{59733BD9-74A4-4B9A-95D4-7D216BCD26D7}"/>
              </a:ext>
            </a:extLst>
          </xdr:cNvPr>
          <xdr:cNvSpPr/>
        </xdr:nvSpPr>
        <xdr:spPr>
          <a:xfrm>
            <a:off x="2295366" y="3615803"/>
            <a:ext cx="1961264" cy="1085126"/>
          </a:xfrm>
          <a:prstGeom prst="roundRect">
            <a:avLst>
              <a:gd name="adj" fmla="val 1070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MIS Report'!B12">
        <xdr:nvSpPr>
          <xdr:cNvPr id="10" name="TextBox 9">
            <a:extLst>
              <a:ext uri="{FF2B5EF4-FFF2-40B4-BE49-F238E27FC236}">
                <a16:creationId xmlns:a16="http://schemas.microsoft.com/office/drawing/2014/main" id="{6827BD7E-C806-4373-AAEC-7E2CFC6F887A}"/>
              </a:ext>
            </a:extLst>
          </xdr:cNvPr>
          <xdr:cNvSpPr txBox="1"/>
        </xdr:nvSpPr>
        <xdr:spPr>
          <a:xfrm>
            <a:off x="2329190" y="4010759"/>
            <a:ext cx="1916690" cy="750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99E621-94EE-462F-A2FF-EF471A196D87}" type="TxLink">
              <a:rPr lang="en-US" sz="1800" b="1" i="0" u="none" strike="noStrike">
                <a:solidFill>
                  <a:schemeClr val="bg1"/>
                </a:solidFill>
                <a:latin typeface="Calibri"/>
                <a:cs typeface="Calibri"/>
              </a:rPr>
              <a:pPr algn="ctr"/>
              <a:t> ₹ 1,33,49,000 </a:t>
            </a:fld>
            <a:endParaRPr lang="en-IN" sz="1800" b="1">
              <a:solidFill>
                <a:schemeClr val="bg1"/>
              </a:solidFill>
            </a:endParaRPr>
          </a:p>
        </xdr:txBody>
      </xdr:sp>
      <xdr:sp macro="" textlink="">
        <xdr:nvSpPr>
          <xdr:cNvPr id="21" name="TextBox 20">
            <a:extLst>
              <a:ext uri="{FF2B5EF4-FFF2-40B4-BE49-F238E27FC236}">
                <a16:creationId xmlns:a16="http://schemas.microsoft.com/office/drawing/2014/main" id="{D7A23CC5-59EC-4D11-9221-65BD7C39797B}"/>
              </a:ext>
            </a:extLst>
          </xdr:cNvPr>
          <xdr:cNvSpPr txBox="1"/>
        </xdr:nvSpPr>
        <xdr:spPr>
          <a:xfrm>
            <a:off x="2329569" y="3615803"/>
            <a:ext cx="1882592" cy="385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Calibri"/>
                <a:cs typeface="Calibri"/>
              </a:rPr>
              <a:t>Total</a:t>
            </a:r>
            <a:r>
              <a:rPr lang="en-US" sz="1400" b="1" i="0" u="none" strike="noStrike" baseline="0">
                <a:solidFill>
                  <a:schemeClr val="bg1"/>
                </a:solidFill>
                <a:latin typeface="Calibri"/>
                <a:cs typeface="Calibri"/>
              </a:rPr>
              <a:t> Amount</a:t>
            </a:r>
            <a:endParaRPr lang="en-US" sz="1400" b="1" i="0" u="none" strike="noStrike">
              <a:solidFill>
                <a:schemeClr val="bg1"/>
              </a:solidFill>
              <a:latin typeface="Calibri"/>
              <a:cs typeface="Calibri"/>
            </a:endParaRPr>
          </a:p>
        </xdr:txBody>
      </xdr:sp>
    </xdr:grpSp>
    <xdr:clientData/>
  </xdr:twoCellAnchor>
  <xdr:twoCellAnchor>
    <xdr:from>
      <xdr:col>2</xdr:col>
      <xdr:colOff>397208</xdr:colOff>
      <xdr:row>19</xdr:row>
      <xdr:rowOff>152138</xdr:rowOff>
    </xdr:from>
    <xdr:to>
      <xdr:col>3</xdr:col>
      <xdr:colOff>1190662</xdr:colOff>
      <xdr:row>25</xdr:row>
      <xdr:rowOff>5715</xdr:rowOff>
    </xdr:to>
    <xdr:grpSp>
      <xdr:nvGrpSpPr>
        <xdr:cNvPr id="37" name="Group 36">
          <a:extLst>
            <a:ext uri="{FF2B5EF4-FFF2-40B4-BE49-F238E27FC236}">
              <a16:creationId xmlns:a16="http://schemas.microsoft.com/office/drawing/2014/main" id="{E2E0B45B-B935-EF4A-3067-CC853A8059B5}"/>
            </a:ext>
          </a:extLst>
        </xdr:cNvPr>
        <xdr:cNvGrpSpPr/>
      </xdr:nvGrpSpPr>
      <xdr:grpSpPr>
        <a:xfrm>
          <a:off x="4034026" y="3742774"/>
          <a:ext cx="1440000" cy="961941"/>
          <a:chOff x="4454085" y="3615803"/>
          <a:chExt cx="1961264" cy="1145212"/>
        </a:xfrm>
      </xdr:grpSpPr>
      <xdr:sp macro="" textlink="">
        <xdr:nvSpPr>
          <xdr:cNvPr id="31" name="Rectangle: Rounded Corners 30">
            <a:extLst>
              <a:ext uri="{FF2B5EF4-FFF2-40B4-BE49-F238E27FC236}">
                <a16:creationId xmlns:a16="http://schemas.microsoft.com/office/drawing/2014/main" id="{EADFAA4E-9C46-4C8F-AEB8-5452C889D0D7}"/>
              </a:ext>
            </a:extLst>
          </xdr:cNvPr>
          <xdr:cNvSpPr/>
        </xdr:nvSpPr>
        <xdr:spPr>
          <a:xfrm>
            <a:off x="4454085" y="3615803"/>
            <a:ext cx="1961264" cy="1085126"/>
          </a:xfrm>
          <a:prstGeom prst="roundRect">
            <a:avLst>
              <a:gd name="adj" fmla="val 1070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MIS Report'!B3">
        <xdr:nvSpPr>
          <xdr:cNvPr id="11" name="TextBox 10">
            <a:extLst>
              <a:ext uri="{FF2B5EF4-FFF2-40B4-BE49-F238E27FC236}">
                <a16:creationId xmlns:a16="http://schemas.microsoft.com/office/drawing/2014/main" id="{1597AE43-DC5C-4FCE-AC13-A9E972BAE201}"/>
              </a:ext>
            </a:extLst>
          </xdr:cNvPr>
          <xdr:cNvSpPr txBox="1"/>
        </xdr:nvSpPr>
        <xdr:spPr>
          <a:xfrm>
            <a:off x="4499806" y="4010759"/>
            <a:ext cx="1875708" cy="750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D38D42-EF8F-4376-B8BF-84039ECD8418}" type="TxLink">
              <a:rPr lang="en-US" sz="1800" b="1" i="0" u="none" strike="noStrike">
                <a:solidFill>
                  <a:schemeClr val="bg1"/>
                </a:solidFill>
                <a:latin typeface="Calibri"/>
                <a:cs typeface="Calibri"/>
              </a:rPr>
              <a:pPr algn="ctr"/>
              <a:t>83%</a:t>
            </a:fld>
            <a:endParaRPr lang="en-IN" sz="1800" b="1">
              <a:solidFill>
                <a:schemeClr val="bg1"/>
              </a:solidFill>
            </a:endParaRPr>
          </a:p>
        </xdr:txBody>
      </xdr:sp>
      <xdr:sp macro="" textlink="">
        <xdr:nvSpPr>
          <xdr:cNvPr id="22" name="TextBox 21">
            <a:extLst>
              <a:ext uri="{FF2B5EF4-FFF2-40B4-BE49-F238E27FC236}">
                <a16:creationId xmlns:a16="http://schemas.microsoft.com/office/drawing/2014/main" id="{E87B2891-C67D-4F79-A7CB-9E27A30275F4}"/>
              </a:ext>
            </a:extLst>
          </xdr:cNvPr>
          <xdr:cNvSpPr txBox="1"/>
        </xdr:nvSpPr>
        <xdr:spPr>
          <a:xfrm>
            <a:off x="4494909" y="3615803"/>
            <a:ext cx="1879878" cy="385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Calibri"/>
                <a:cs typeface="Calibri"/>
              </a:rPr>
              <a:t>Approval</a:t>
            </a:r>
            <a:r>
              <a:rPr lang="en-US" sz="1400" b="1" i="0" u="none" strike="noStrike" baseline="0">
                <a:solidFill>
                  <a:schemeClr val="bg1"/>
                </a:solidFill>
                <a:latin typeface="Calibri"/>
                <a:cs typeface="Calibri"/>
              </a:rPr>
              <a:t> Rate</a:t>
            </a:r>
            <a:endParaRPr lang="en-US" sz="1400" b="1" i="0" u="none" strike="noStrike">
              <a:solidFill>
                <a:schemeClr val="bg1"/>
              </a:solidFill>
              <a:latin typeface="Calibri"/>
              <a:cs typeface="Calibri"/>
            </a:endParaRPr>
          </a:p>
        </xdr:txBody>
      </xdr:sp>
    </xdr:grpSp>
    <xdr:clientData/>
  </xdr:twoCellAnchor>
  <xdr:twoCellAnchor>
    <xdr:from>
      <xdr:col>4</xdr:col>
      <xdr:colOff>426624</xdr:colOff>
      <xdr:row>19</xdr:row>
      <xdr:rowOff>152138</xdr:rowOff>
    </xdr:from>
    <xdr:to>
      <xdr:col>4</xdr:col>
      <xdr:colOff>1866624</xdr:colOff>
      <xdr:row>25</xdr:row>
      <xdr:rowOff>5174</xdr:rowOff>
    </xdr:to>
    <xdr:grpSp>
      <xdr:nvGrpSpPr>
        <xdr:cNvPr id="38" name="Group 37">
          <a:extLst>
            <a:ext uri="{FF2B5EF4-FFF2-40B4-BE49-F238E27FC236}">
              <a16:creationId xmlns:a16="http://schemas.microsoft.com/office/drawing/2014/main" id="{6B5BA37A-6AA6-02FE-D5E2-2BDC99E930F0}"/>
            </a:ext>
          </a:extLst>
        </xdr:cNvPr>
        <xdr:cNvGrpSpPr/>
      </xdr:nvGrpSpPr>
      <xdr:grpSpPr>
        <a:xfrm>
          <a:off x="5910715" y="3742774"/>
          <a:ext cx="1440000" cy="961400"/>
          <a:chOff x="6485434" y="3636416"/>
          <a:chExt cx="1961413" cy="1147565"/>
        </a:xfrm>
      </xdr:grpSpPr>
      <xdr:sp macro="" textlink="">
        <xdr:nvSpPr>
          <xdr:cNvPr id="32" name="Rectangle: Rounded Corners 31">
            <a:extLst>
              <a:ext uri="{FF2B5EF4-FFF2-40B4-BE49-F238E27FC236}">
                <a16:creationId xmlns:a16="http://schemas.microsoft.com/office/drawing/2014/main" id="{B6DC9D65-E5DC-4BA6-BFED-B5B81294C19F}"/>
              </a:ext>
            </a:extLst>
          </xdr:cNvPr>
          <xdr:cNvSpPr/>
        </xdr:nvSpPr>
        <xdr:spPr>
          <a:xfrm>
            <a:off x="6485434" y="3636416"/>
            <a:ext cx="1961413" cy="1088122"/>
          </a:xfrm>
          <a:prstGeom prst="roundRect">
            <a:avLst>
              <a:gd name="adj" fmla="val 1070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MIS Report'!B6">
        <xdr:nvSpPr>
          <xdr:cNvPr id="12" name="TextBox 11">
            <a:extLst>
              <a:ext uri="{FF2B5EF4-FFF2-40B4-BE49-F238E27FC236}">
                <a16:creationId xmlns:a16="http://schemas.microsoft.com/office/drawing/2014/main" id="{5184AC4C-63F8-4BBD-B74B-37E8284CE4BA}"/>
              </a:ext>
            </a:extLst>
          </xdr:cNvPr>
          <xdr:cNvSpPr txBox="1"/>
        </xdr:nvSpPr>
        <xdr:spPr>
          <a:xfrm>
            <a:off x="6512953" y="4031727"/>
            <a:ext cx="1886348" cy="75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095294-0D7B-409A-9286-998BD4918916}" type="TxLink">
              <a:rPr lang="en-US" sz="1800" b="1" i="0" u="none" strike="noStrike">
                <a:solidFill>
                  <a:schemeClr val="bg1"/>
                </a:solidFill>
                <a:latin typeface="Calibri"/>
                <a:cs typeface="Calibri"/>
              </a:rPr>
              <a:pPr algn="ctr"/>
              <a:t>25</a:t>
            </a:fld>
            <a:endParaRPr lang="en-IN" sz="1800" b="1">
              <a:solidFill>
                <a:schemeClr val="bg1"/>
              </a:solidFill>
            </a:endParaRPr>
          </a:p>
        </xdr:txBody>
      </xdr:sp>
      <xdr:sp macro="" textlink="">
        <xdr:nvSpPr>
          <xdr:cNvPr id="23" name="TextBox 22">
            <a:extLst>
              <a:ext uri="{FF2B5EF4-FFF2-40B4-BE49-F238E27FC236}">
                <a16:creationId xmlns:a16="http://schemas.microsoft.com/office/drawing/2014/main" id="{EB2D6630-CBAB-4BAC-95BF-AD7EA0CCC066}"/>
              </a:ext>
            </a:extLst>
          </xdr:cNvPr>
          <xdr:cNvSpPr txBox="1"/>
        </xdr:nvSpPr>
        <xdr:spPr>
          <a:xfrm>
            <a:off x="6528679" y="3651849"/>
            <a:ext cx="1880832" cy="386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Calibri"/>
                <a:cs typeface="Calibri"/>
              </a:rPr>
              <a:t>Overdues</a:t>
            </a:r>
            <a:r>
              <a:rPr lang="en-US" sz="1400" b="1" i="0" u="none" strike="noStrike" baseline="0">
                <a:solidFill>
                  <a:schemeClr val="bg1"/>
                </a:solidFill>
                <a:latin typeface="Calibri"/>
                <a:cs typeface="Calibri"/>
              </a:rPr>
              <a:t> Invoices</a:t>
            </a:r>
            <a:endParaRPr lang="en-US" sz="1400" b="1" i="0" u="none" strike="noStrike">
              <a:solidFill>
                <a:schemeClr val="bg1"/>
              </a:solidFill>
              <a:latin typeface="Calibri"/>
              <a:cs typeface="Calibri"/>
            </a:endParaRPr>
          </a:p>
        </xdr:txBody>
      </xdr:sp>
    </xdr:grpSp>
    <xdr:clientData/>
  </xdr:twoCellAnchor>
  <xdr:twoCellAnchor>
    <xdr:from>
      <xdr:col>4</xdr:col>
      <xdr:colOff>2303313</xdr:colOff>
      <xdr:row>19</xdr:row>
      <xdr:rowOff>152138</xdr:rowOff>
    </xdr:from>
    <xdr:to>
      <xdr:col>6</xdr:col>
      <xdr:colOff>602949</xdr:colOff>
      <xdr:row>24</xdr:row>
      <xdr:rowOff>160603</xdr:rowOff>
    </xdr:to>
    <xdr:grpSp>
      <xdr:nvGrpSpPr>
        <xdr:cNvPr id="39" name="Group 38">
          <a:extLst>
            <a:ext uri="{FF2B5EF4-FFF2-40B4-BE49-F238E27FC236}">
              <a16:creationId xmlns:a16="http://schemas.microsoft.com/office/drawing/2014/main" id="{6BF04BBB-4A97-84CB-D863-47BB370EBE58}"/>
            </a:ext>
          </a:extLst>
        </xdr:cNvPr>
        <xdr:cNvGrpSpPr/>
      </xdr:nvGrpSpPr>
      <xdr:grpSpPr>
        <a:xfrm>
          <a:off x="7787404" y="3742774"/>
          <a:ext cx="1440000" cy="932102"/>
          <a:chOff x="8683254" y="3627735"/>
          <a:chExt cx="1962611" cy="1112712"/>
        </a:xfrm>
      </xdr:grpSpPr>
      <xdr:sp macro="" textlink="">
        <xdr:nvSpPr>
          <xdr:cNvPr id="33" name="Rectangle: Rounded Corners 32">
            <a:extLst>
              <a:ext uri="{FF2B5EF4-FFF2-40B4-BE49-F238E27FC236}">
                <a16:creationId xmlns:a16="http://schemas.microsoft.com/office/drawing/2014/main" id="{1300C496-35B8-463E-BF55-870859E10E0A}"/>
              </a:ext>
            </a:extLst>
          </xdr:cNvPr>
          <xdr:cNvSpPr/>
        </xdr:nvSpPr>
        <xdr:spPr>
          <a:xfrm>
            <a:off x="8683254" y="3627735"/>
            <a:ext cx="1962611" cy="1087622"/>
          </a:xfrm>
          <a:prstGeom prst="roundRect">
            <a:avLst>
              <a:gd name="adj" fmla="val 1070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MIS Report'!B8">
        <xdr:nvSpPr>
          <xdr:cNvPr id="13" name="TextBox 12">
            <a:extLst>
              <a:ext uri="{FF2B5EF4-FFF2-40B4-BE49-F238E27FC236}">
                <a16:creationId xmlns:a16="http://schemas.microsoft.com/office/drawing/2014/main" id="{335E052E-0417-430D-88D2-251FFA01E400}"/>
              </a:ext>
            </a:extLst>
          </xdr:cNvPr>
          <xdr:cNvSpPr txBox="1"/>
        </xdr:nvSpPr>
        <xdr:spPr>
          <a:xfrm>
            <a:off x="8708332" y="3988193"/>
            <a:ext cx="1877057" cy="75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A17923-7F5A-4318-AD20-AC4219DB425D}" type="TxLink">
              <a:rPr lang="en-US" sz="1800" b="1" i="0" u="none" strike="noStrike">
                <a:solidFill>
                  <a:schemeClr val="bg1"/>
                </a:solidFill>
                <a:latin typeface="Calibri"/>
                <a:cs typeface="Calibri"/>
              </a:rPr>
              <a:pPr algn="ctr"/>
              <a:t>10</a:t>
            </a:fld>
            <a:endParaRPr lang="en-IN" sz="1800" b="1">
              <a:solidFill>
                <a:schemeClr val="bg1"/>
              </a:solidFill>
            </a:endParaRPr>
          </a:p>
        </xdr:txBody>
      </xdr:sp>
      <xdr:sp macro="" textlink="">
        <xdr:nvSpPr>
          <xdr:cNvPr id="24" name="TextBox 23">
            <a:extLst>
              <a:ext uri="{FF2B5EF4-FFF2-40B4-BE49-F238E27FC236}">
                <a16:creationId xmlns:a16="http://schemas.microsoft.com/office/drawing/2014/main" id="{781C8B1E-A822-46D5-A415-99469D508167}"/>
              </a:ext>
            </a:extLst>
          </xdr:cNvPr>
          <xdr:cNvSpPr txBox="1"/>
        </xdr:nvSpPr>
        <xdr:spPr>
          <a:xfrm>
            <a:off x="8710732" y="3639567"/>
            <a:ext cx="1881227" cy="386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Calibri"/>
                <a:cs typeface="Calibri"/>
              </a:rPr>
              <a:t>Duplicate</a:t>
            </a:r>
            <a:r>
              <a:rPr lang="en-US" sz="1400" b="1" i="0" u="none" strike="noStrike" baseline="0">
                <a:solidFill>
                  <a:schemeClr val="bg1"/>
                </a:solidFill>
                <a:latin typeface="Calibri"/>
                <a:cs typeface="Calibri"/>
              </a:rPr>
              <a:t> Invoices</a:t>
            </a:r>
            <a:endParaRPr lang="en-US" sz="1400" b="1" i="0" u="none" strike="noStrike">
              <a:solidFill>
                <a:schemeClr val="bg1"/>
              </a:solidFill>
              <a:latin typeface="Calibri"/>
              <a:cs typeface="Calibri"/>
            </a:endParaRPr>
          </a:p>
        </xdr:txBody>
      </xdr:sp>
    </xdr:grpSp>
    <xdr:clientData/>
  </xdr:twoCellAnchor>
  <xdr:twoCellAnchor>
    <xdr:from>
      <xdr:col>10</xdr:col>
      <xdr:colOff>468688</xdr:colOff>
      <xdr:row>19</xdr:row>
      <xdr:rowOff>152138</xdr:rowOff>
    </xdr:from>
    <xdr:to>
      <xdr:col>13</xdr:col>
      <xdr:colOff>72961</xdr:colOff>
      <xdr:row>24</xdr:row>
      <xdr:rowOff>166254</xdr:rowOff>
    </xdr:to>
    <xdr:grpSp>
      <xdr:nvGrpSpPr>
        <xdr:cNvPr id="5" name="Group 4">
          <a:extLst>
            <a:ext uri="{FF2B5EF4-FFF2-40B4-BE49-F238E27FC236}">
              <a16:creationId xmlns:a16="http://schemas.microsoft.com/office/drawing/2014/main" id="{C2CE84AD-7256-9D52-0EE0-7706B59EDAAD}"/>
            </a:ext>
          </a:extLst>
        </xdr:cNvPr>
        <xdr:cNvGrpSpPr/>
      </xdr:nvGrpSpPr>
      <xdr:grpSpPr>
        <a:xfrm>
          <a:off x="11540779" y="3742774"/>
          <a:ext cx="1440000" cy="937753"/>
          <a:chOff x="11021234" y="3798193"/>
          <a:chExt cx="1965356" cy="937753"/>
        </a:xfrm>
      </xdr:grpSpPr>
      <xdr:sp macro="" textlink="">
        <xdr:nvSpPr>
          <xdr:cNvPr id="34" name="Rectangle: Rounded Corners 33">
            <a:extLst>
              <a:ext uri="{FF2B5EF4-FFF2-40B4-BE49-F238E27FC236}">
                <a16:creationId xmlns:a16="http://schemas.microsoft.com/office/drawing/2014/main" id="{684D5701-6C91-4457-B64C-14BE95686DFC}"/>
              </a:ext>
            </a:extLst>
          </xdr:cNvPr>
          <xdr:cNvSpPr/>
        </xdr:nvSpPr>
        <xdr:spPr>
          <a:xfrm>
            <a:off x="11021234" y="3798193"/>
            <a:ext cx="1965356" cy="932558"/>
          </a:xfrm>
          <a:prstGeom prst="roundRect">
            <a:avLst>
              <a:gd name="adj" fmla="val 1070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0" name="Group 39">
            <a:extLst>
              <a:ext uri="{FF2B5EF4-FFF2-40B4-BE49-F238E27FC236}">
                <a16:creationId xmlns:a16="http://schemas.microsoft.com/office/drawing/2014/main" id="{33766652-68F8-0DC3-A6E1-A11D6B53008F}"/>
              </a:ext>
            </a:extLst>
          </xdr:cNvPr>
          <xdr:cNvGrpSpPr/>
        </xdr:nvGrpSpPr>
        <xdr:grpSpPr>
          <a:xfrm>
            <a:off x="11320049" y="3867464"/>
            <a:ext cx="1440000" cy="868482"/>
            <a:chOff x="10977700" y="3667503"/>
            <a:chExt cx="1881227" cy="1121089"/>
          </a:xfrm>
        </xdr:grpSpPr>
        <xdr:sp macro="" textlink="'MIS Report'!B11">
          <xdr:nvSpPr>
            <xdr:cNvPr id="14" name="TextBox 13">
              <a:extLst>
                <a:ext uri="{FF2B5EF4-FFF2-40B4-BE49-F238E27FC236}">
                  <a16:creationId xmlns:a16="http://schemas.microsoft.com/office/drawing/2014/main" id="{243B0BC0-655C-404F-97E2-C6915D3E6318}"/>
                </a:ext>
              </a:extLst>
            </xdr:cNvPr>
            <xdr:cNvSpPr txBox="1"/>
          </xdr:nvSpPr>
          <xdr:spPr>
            <a:xfrm>
              <a:off x="10911593" y="4023689"/>
              <a:ext cx="1877059" cy="732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5108CA-8D4A-483A-AB39-DA08578A0420}" type="TxLink">
                <a:rPr lang="en-US" sz="1800" b="1" i="0" u="none" strike="noStrike">
                  <a:solidFill>
                    <a:schemeClr val="bg1"/>
                  </a:solidFill>
                  <a:latin typeface="Calibri"/>
                  <a:cs typeface="Calibri"/>
                </a:rPr>
                <a:pPr algn="ctr"/>
                <a:t>6.9 Days</a:t>
              </a:fld>
              <a:endParaRPr lang="en-IN" sz="1800" b="1">
                <a:solidFill>
                  <a:schemeClr val="bg1"/>
                </a:solidFill>
              </a:endParaRPr>
            </a:p>
          </xdr:txBody>
        </xdr:sp>
        <xdr:sp macro="" textlink="">
          <xdr:nvSpPr>
            <xdr:cNvPr id="25" name="TextBox 24">
              <a:extLst>
                <a:ext uri="{FF2B5EF4-FFF2-40B4-BE49-F238E27FC236}">
                  <a16:creationId xmlns:a16="http://schemas.microsoft.com/office/drawing/2014/main" id="{6EDE96FD-EE8F-4133-B28B-E4C6B4341E0C}"/>
                </a:ext>
              </a:extLst>
            </xdr:cNvPr>
            <xdr:cNvSpPr txBox="1"/>
          </xdr:nvSpPr>
          <xdr:spPr>
            <a:xfrm>
              <a:off x="10910650" y="3627735"/>
              <a:ext cx="1881227" cy="386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Calibri"/>
                  <a:cs typeface="Calibri"/>
                </a:rPr>
                <a:t>Avg</a:t>
              </a:r>
              <a:r>
                <a:rPr lang="en-US" sz="1400" b="1" i="0" u="none" strike="noStrike" baseline="0">
                  <a:solidFill>
                    <a:schemeClr val="bg1"/>
                  </a:solidFill>
                  <a:latin typeface="Calibri"/>
                  <a:cs typeface="Calibri"/>
                </a:rPr>
                <a:t> TAT</a:t>
              </a:r>
              <a:endParaRPr lang="en-US" sz="1400" b="1" i="0" u="none" strike="noStrike">
                <a:solidFill>
                  <a:schemeClr val="bg1"/>
                </a:solidFill>
                <a:latin typeface="Calibri"/>
                <a:cs typeface="Calibri"/>
              </a:endParaRPr>
            </a:p>
          </xdr:txBody>
        </xdr:sp>
      </xdr:grpSp>
    </xdr:grpSp>
    <xdr:clientData/>
  </xdr:twoCellAnchor>
  <xdr:twoCellAnchor>
    <xdr:from>
      <xdr:col>3</xdr:col>
      <xdr:colOff>301356</xdr:colOff>
      <xdr:row>26</xdr:row>
      <xdr:rowOff>0</xdr:rowOff>
    </xdr:from>
    <xdr:to>
      <xdr:col>6</xdr:col>
      <xdr:colOff>161440</xdr:colOff>
      <xdr:row>39</xdr:row>
      <xdr:rowOff>86100</xdr:rowOff>
    </xdr:to>
    <xdr:graphicFrame macro="">
      <xdr:nvGraphicFramePr>
        <xdr:cNvPr id="8" name="Chart 7">
          <a:extLst>
            <a:ext uri="{FF2B5EF4-FFF2-40B4-BE49-F238E27FC236}">
              <a16:creationId xmlns:a16="http://schemas.microsoft.com/office/drawing/2014/main" id="{70752748-52CE-4230-8177-9ED592574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427728</xdr:colOff>
      <xdr:row>19</xdr:row>
      <xdr:rowOff>152138</xdr:rowOff>
    </xdr:from>
    <xdr:to>
      <xdr:col>10</xdr:col>
      <xdr:colOff>32001</xdr:colOff>
      <xdr:row>24</xdr:row>
      <xdr:rowOff>166254</xdr:rowOff>
    </xdr:to>
    <xdr:grpSp>
      <xdr:nvGrpSpPr>
        <xdr:cNvPr id="17" name="Group 16">
          <a:extLst>
            <a:ext uri="{FF2B5EF4-FFF2-40B4-BE49-F238E27FC236}">
              <a16:creationId xmlns:a16="http://schemas.microsoft.com/office/drawing/2014/main" id="{D5C8E70F-D195-4654-99A6-A565A5DC45C2}"/>
            </a:ext>
          </a:extLst>
        </xdr:cNvPr>
        <xdr:cNvGrpSpPr/>
      </xdr:nvGrpSpPr>
      <xdr:grpSpPr>
        <a:xfrm>
          <a:off x="9664092" y="3742774"/>
          <a:ext cx="1440000" cy="937753"/>
          <a:chOff x="11021234" y="3798193"/>
          <a:chExt cx="1965356" cy="937753"/>
        </a:xfrm>
      </xdr:grpSpPr>
      <xdr:sp macro="" textlink="">
        <xdr:nvSpPr>
          <xdr:cNvPr id="26" name="Rectangle: Rounded Corners 25">
            <a:extLst>
              <a:ext uri="{FF2B5EF4-FFF2-40B4-BE49-F238E27FC236}">
                <a16:creationId xmlns:a16="http://schemas.microsoft.com/office/drawing/2014/main" id="{B9B2B5E1-0FB2-CE4F-4D0A-67B4277EF968}"/>
              </a:ext>
            </a:extLst>
          </xdr:cNvPr>
          <xdr:cNvSpPr/>
        </xdr:nvSpPr>
        <xdr:spPr>
          <a:xfrm>
            <a:off x="11021234" y="3798193"/>
            <a:ext cx="1965356" cy="932558"/>
          </a:xfrm>
          <a:prstGeom prst="roundRect">
            <a:avLst>
              <a:gd name="adj" fmla="val 10707"/>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7" name="Group 26">
            <a:extLst>
              <a:ext uri="{FF2B5EF4-FFF2-40B4-BE49-F238E27FC236}">
                <a16:creationId xmlns:a16="http://schemas.microsoft.com/office/drawing/2014/main" id="{9700D26D-F0C2-39AD-E35E-F7EE0083C537}"/>
              </a:ext>
            </a:extLst>
          </xdr:cNvPr>
          <xdr:cNvGrpSpPr/>
        </xdr:nvGrpSpPr>
        <xdr:grpSpPr>
          <a:xfrm>
            <a:off x="11320049" y="3867464"/>
            <a:ext cx="1440000" cy="868482"/>
            <a:chOff x="10977700" y="3667503"/>
            <a:chExt cx="1881227" cy="1121089"/>
          </a:xfrm>
        </xdr:grpSpPr>
        <xdr:sp macro="" textlink="'MIS Report'!B9">
          <xdr:nvSpPr>
            <xdr:cNvPr id="28" name="TextBox 27">
              <a:extLst>
                <a:ext uri="{FF2B5EF4-FFF2-40B4-BE49-F238E27FC236}">
                  <a16:creationId xmlns:a16="http://schemas.microsoft.com/office/drawing/2014/main" id="{4A876FDD-9462-6C8F-F547-243693249DB8}"/>
                </a:ext>
              </a:extLst>
            </xdr:cNvPr>
            <xdr:cNvSpPr txBox="1"/>
          </xdr:nvSpPr>
          <xdr:spPr>
            <a:xfrm>
              <a:off x="10911593" y="4023689"/>
              <a:ext cx="1877059" cy="732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D23685-8357-498A-8123-E118B4F356CF}" type="TxLink">
                <a:rPr lang="en-US" sz="1800" b="1" i="0" u="none" strike="noStrike">
                  <a:solidFill>
                    <a:schemeClr val="bg1"/>
                  </a:solidFill>
                  <a:latin typeface="Calibri"/>
                  <a:cs typeface="Calibri"/>
                </a:rPr>
                <a:t>78.5%</a:t>
              </a:fld>
              <a:endParaRPr lang="en-IN" sz="3200" b="1">
                <a:solidFill>
                  <a:schemeClr val="bg1"/>
                </a:solidFill>
              </a:endParaRPr>
            </a:p>
          </xdr:txBody>
        </xdr:sp>
        <xdr:sp macro="" textlink="">
          <xdr:nvSpPr>
            <xdr:cNvPr id="29" name="TextBox 28">
              <a:extLst>
                <a:ext uri="{FF2B5EF4-FFF2-40B4-BE49-F238E27FC236}">
                  <a16:creationId xmlns:a16="http://schemas.microsoft.com/office/drawing/2014/main" id="{38617380-3FE1-4064-30D2-BC6525BC3BC1}"/>
                </a:ext>
              </a:extLst>
            </xdr:cNvPr>
            <xdr:cNvSpPr txBox="1"/>
          </xdr:nvSpPr>
          <xdr:spPr>
            <a:xfrm>
              <a:off x="10910650" y="3627735"/>
              <a:ext cx="1881227" cy="386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baseline="0">
                  <a:solidFill>
                    <a:schemeClr val="bg1"/>
                  </a:solidFill>
                  <a:latin typeface="Calibri"/>
                  <a:cs typeface="Calibri"/>
                </a:rPr>
                <a:t>TAT Met %</a:t>
              </a:r>
              <a:endParaRPr lang="en-US" sz="1400" b="1" i="0" u="none" strike="noStrike">
                <a:solidFill>
                  <a:schemeClr val="bg1"/>
                </a:solidFill>
                <a:latin typeface="Calibri"/>
                <a:cs typeface="Calibri"/>
              </a:endParaRPr>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ak" refreshedDate="46096.371523032409" createdVersion="8" refreshedVersion="8" minRefreshableVersion="3" recordCount="200" xr:uid="{DE5003BD-E557-496C-A2C9-D1E9DB227225}">
  <cacheSource type="worksheet">
    <worksheetSource ref="A1:U201" sheet="Invoice Master"/>
  </cacheSource>
  <cacheFields count="21">
    <cacheField name="Invoice No" numFmtId="0">
      <sharedItems/>
    </cacheField>
    <cacheField name="Vendor Name" numFmtId="0">
      <sharedItems count="5">
        <s v="Gupta Electricals"/>
        <s v="Mehta Contractors"/>
        <s v="Sharma Supplies"/>
        <s v="Singh &amp; Co"/>
        <s v="Verma Facilities"/>
      </sharedItems>
    </cacheField>
    <cacheField name="Site Name" numFmtId="0">
      <sharedItems count="4">
        <s v="Noida-Plaza"/>
        <s v="Faridabad-Mall"/>
        <s v="Delhi-HQ"/>
        <s v="Gurgaon-Tech"/>
      </sharedItems>
    </cacheField>
    <cacheField name="Invoice Date" numFmtId="14">
      <sharedItems containsSemiMixedTypes="0" containsNonDate="0" containsDate="1" containsString="0" minDate="2024-01-02T00:00:00" maxDate="2024-07-11T00:00:00"/>
    </cacheField>
    <cacheField name="Month" numFmtId="14">
      <sharedItems count="21">
        <s v="Jan"/>
        <s v="Feb"/>
        <s v="Mar"/>
        <s v="Apr"/>
        <s v="May"/>
        <s v="Jun"/>
        <s v="Jul"/>
        <s v="Jan-2024" u="1"/>
        <s v="Feb-2024" u="1"/>
        <s v="Mar-2024" u="1"/>
        <s v="Apr-2024" u="1"/>
        <s v="May-2024" u="1"/>
        <s v="Jun-2024" u="1"/>
        <s v="Jul-2024" u="1"/>
        <s v="01-2024" u="1"/>
        <s v="02-2024" u="1"/>
        <s v="03-2024" u="1"/>
        <s v="04-2024" u="1"/>
        <s v="05-2024" u="1"/>
        <s v="06-2024" u="1"/>
        <s v="07-2024" u="1"/>
      </sharedItems>
    </cacheField>
    <cacheField name="PO No" numFmtId="0">
      <sharedItems/>
    </cacheField>
    <cacheField name="GRN No" numFmtId="0">
      <sharedItems/>
    </cacheField>
    <cacheField name="Amount (₹)" numFmtId="0">
      <sharedItems containsSemiMixedTypes="0" containsString="0" containsNumber="1" containsInteger="1" minValue="-45000" maxValue="196000"/>
    </cacheField>
    <cacheField name="Invoice Code" numFmtId="0">
      <sharedItems/>
    </cacheField>
    <cacheField name="Cost Center" numFmtId="0">
      <sharedItems count="5">
        <s v="CC-003"/>
        <s v="CC-002"/>
        <s v="CC-001"/>
        <s v="CC-005"/>
        <s v="CC-004"/>
      </sharedItems>
    </cacheField>
    <cacheField name="Type" numFmtId="0">
      <sharedItems/>
    </cacheField>
    <cacheField name="Funding Status" numFmtId="0">
      <sharedItems/>
    </cacheField>
    <cacheField name="Priority" numFmtId="0">
      <sharedItems/>
    </cacheField>
    <cacheField name="Approval Status" numFmtId="0">
      <sharedItems count="3">
        <s v="Approved"/>
        <s v="On Hold"/>
        <s v="Pending"/>
      </sharedItems>
    </cacheField>
    <cacheField name="Due Date" numFmtId="0">
      <sharedItems/>
    </cacheField>
    <cacheField name="Paid Date" numFmtId="0">
      <sharedItems count="134">
        <s v="10-Jan-24"/>
        <s v="-"/>
        <s v="16-Jan-24"/>
        <s v="21-Jan-24"/>
        <s v="26-Jan-24"/>
        <s v="05-Feb-24"/>
        <s v="14-Jan-24"/>
        <s v="20-Jan-24"/>
        <s v="25-Jan-24"/>
        <s v="04-Feb-24"/>
        <s v="08-Jan-24"/>
        <s v="19-Jan-24"/>
        <s v="24-Jan-24"/>
        <s v="03-Feb-24"/>
        <s v="13-Jan-24"/>
        <s v="17-Jan-24"/>
        <s v="22-Jan-24"/>
        <s v="28-Jan-24"/>
        <s v="06-Feb-24"/>
        <s v="12-Jan-24"/>
        <s v="10-Feb-24"/>
        <s v="15-Feb-24"/>
        <s v="21-Feb-24"/>
        <s v="25-Feb-24"/>
        <s v="01-Mar-24"/>
        <s v="08-Mar-24"/>
        <s v="09-Feb-24"/>
        <s v="24-Feb-24"/>
        <s v="29-Feb-24"/>
        <s v="05-Mar-24"/>
        <s v="08-Feb-24"/>
        <s v="22-Feb-24"/>
        <s v="23-Feb-24"/>
        <s v="28-Feb-24"/>
        <s v="04-Mar-24"/>
        <s v="12-Feb-24"/>
        <s v="17-Feb-24"/>
        <s v="27-Feb-24"/>
        <s v="03-Mar-24"/>
        <s v="06-Mar-24"/>
        <s v="16-Mar-24"/>
        <s v="21-Mar-24"/>
        <s v="26-Mar-24"/>
        <s v="31-Mar-24"/>
        <s v="05-Apr-24"/>
        <s v="15-Mar-24"/>
        <s v="20-Mar-24"/>
        <s v="30-Mar-24"/>
        <s v="14-Mar-24"/>
        <s v="19-Mar-24"/>
        <s v="29-Mar-24"/>
        <s v="18-Mar-24"/>
        <s v="23-Mar-24"/>
        <s v="28-Mar-24"/>
        <s v="02-Apr-24"/>
        <s v="06-Apr-24"/>
        <s v="01-Apr-24"/>
        <s v="10-Apr-24"/>
        <s v="15-Apr-24"/>
        <s v="20-Apr-24"/>
        <s v="30-Apr-24"/>
        <s v="05-May-24"/>
        <s v="09-Apr-24"/>
        <s v="14-Apr-24"/>
        <s v="22-Apr-24"/>
        <s v="29-Apr-24"/>
        <s v="04-May-24"/>
        <s v="08-Apr-24"/>
        <s v="13-Apr-24"/>
        <s v="18-Apr-24"/>
        <s v="23-Apr-24"/>
        <s v="28-Apr-24"/>
        <s v="03-May-24"/>
        <s v="12-Apr-24"/>
        <s v="17-Apr-24"/>
        <s v="27-Apr-24"/>
        <s v="02-May-24"/>
        <s v="07-May-24"/>
        <s v="21-Apr-24"/>
        <s v="25-Apr-24"/>
        <s v="10-May-24"/>
        <s v="15-May-24"/>
        <s v="20-May-24"/>
        <s v="25-May-24"/>
        <s v="30-May-24"/>
        <s v="06-Jun-24"/>
        <s v="09-May-24"/>
        <s v="14-May-24"/>
        <s v="24-May-24"/>
        <s v="29-May-24"/>
        <s v="03-Jun-24"/>
        <s v="08-May-24"/>
        <s v="13-May-24"/>
        <s v="23-May-24"/>
        <s v="28-May-24"/>
        <s v="02-Jun-24"/>
        <s v="12-May-24"/>
        <s v="17-May-24"/>
        <s v="22-May-24"/>
        <s v="27-May-24"/>
        <s v="01-Jun-24"/>
        <s v="11-May-24"/>
        <s v="31-May-24"/>
        <s v="04-Jun-24"/>
        <s v="10-Jun-24"/>
        <s v="15-Jun-24"/>
        <s v="20-Jun-24"/>
        <s v="30-Jun-24"/>
        <s v="07-Jul-24"/>
        <s v="09-Jun-24"/>
        <s v="14-Jun-24"/>
        <s v="19-Jun-24"/>
        <s v="29-Jun-24"/>
        <s v="04-Jul-24"/>
        <s v="08-Jun-24"/>
        <s v="18-Jun-24"/>
        <s v="23-Jun-24"/>
        <s v="28-Jun-24"/>
        <s v="03-Jul-24"/>
        <s v="12-Jun-24"/>
        <s v="17-Jun-24"/>
        <s v="22-Jun-24"/>
        <s v="27-Jun-24"/>
        <s v="02-Jul-24"/>
        <s v="21-Jun-24"/>
        <s v="25-Jun-24"/>
        <s v="05-Jul-24"/>
        <s v="15-Jul-24"/>
        <s v="14-Jul-24"/>
        <s v="08-Jul-24"/>
        <s v="13-Jul-24"/>
        <s v="12-Jul-24"/>
        <s v="17-Jul-24"/>
        <s v="11-Jul-24"/>
      </sharedItems>
    </cacheField>
    <cacheField name="Remarks" numFmtId="0">
      <sharedItems/>
    </cacheField>
    <cacheField name="TAT (Days)" numFmtId="0">
      <sharedItems containsMixedTypes="1" containsNumber="1" containsInteger="1" minValue="6" maxValue="12"/>
    </cacheField>
    <cacheField name="TAT Met" numFmtId="0">
      <sharedItems count="3">
        <s v="Yes"/>
        <s v="-"/>
        <s v="No"/>
      </sharedItems>
    </cacheField>
    <cacheField name="Match Status" numFmtId="0">
      <sharedItems/>
    </cacheField>
    <cacheField name="Duplicate Flag" numFmtId="0">
      <sharedItems count="2">
        <s v="OK"/>
        <s v="DUPLICATE"/>
      </sharedItems>
    </cacheField>
  </cacheFields>
  <extLst>
    <ext xmlns:x14="http://schemas.microsoft.com/office/spreadsheetml/2009/9/main" uri="{725AE2AE-9491-48be-B2B4-4EB974FC3084}">
      <x14:pivotCacheDefinition pivotCacheId="1404446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INV-003"/>
    <x v="0"/>
    <x v="0"/>
    <d v="2024-01-04T00:00:00"/>
    <x v="0"/>
    <s v="PO-103"/>
    <s v="GRN-203"/>
    <n v="32000"/>
    <s v="AP-ELEC"/>
    <x v="0"/>
    <s v="Invoice"/>
    <s v="Funded"/>
    <s v="Urgent"/>
    <x v="0"/>
    <s v="11-Jan-24"/>
    <x v="0"/>
    <s v="-"/>
    <n v="6"/>
    <x v="0"/>
    <s v="Matched"/>
    <x v="0"/>
  </r>
  <r>
    <s v="INV-153"/>
    <x v="0"/>
    <x v="0"/>
    <d v="2024-01-05T00:00:00"/>
    <x v="0"/>
    <s v="PO-103"/>
    <s v="GRN-203"/>
    <n v="32000"/>
    <s v="AP-ELEC"/>
    <x v="0"/>
    <s v="Invoice"/>
    <s v="Funded"/>
    <s v="Low"/>
    <x v="1"/>
    <s v="12-Jan-24"/>
    <x v="1"/>
    <s v="Duplicate detected"/>
    <s v="-"/>
    <x v="1"/>
    <s v="Matched"/>
    <x v="1"/>
  </r>
  <r>
    <s v="INV-008"/>
    <x v="0"/>
    <x v="1"/>
    <d v="2024-01-09T00:00:00"/>
    <x v="0"/>
    <s v="PO-108"/>
    <s v="GRN-208"/>
    <n v="67000"/>
    <s v="AP-ELEC"/>
    <x v="0"/>
    <s v="Invoice"/>
    <s v="Funded"/>
    <s v="Normal"/>
    <x v="0"/>
    <s v="16-Jan-24"/>
    <x v="2"/>
    <s v="-"/>
    <n v="7"/>
    <x v="0"/>
    <s v="Matched"/>
    <x v="0"/>
  </r>
  <r>
    <s v="INV-158"/>
    <x v="0"/>
    <x v="1"/>
    <d v="2024-01-10T00:00:00"/>
    <x v="0"/>
    <s v="PO-108"/>
    <s v="GRN-208"/>
    <n v="67000"/>
    <s v="AP-ELEC"/>
    <x v="0"/>
    <s v="Invoice"/>
    <s v="Funded"/>
    <s v="Normal"/>
    <x v="1"/>
    <s v="17-Jan-24"/>
    <x v="1"/>
    <s v="Duplicate detected"/>
    <s v="-"/>
    <x v="1"/>
    <s v="Matched"/>
    <x v="1"/>
  </r>
  <r>
    <s v="INV-013"/>
    <x v="0"/>
    <x v="2"/>
    <d v="2024-01-14T00:00:00"/>
    <x v="0"/>
    <s v="PO-113"/>
    <s v="GRN-213"/>
    <n v="41000"/>
    <s v="AP-ELEC"/>
    <x v="0"/>
    <s v="Invoice"/>
    <s v="Funded"/>
    <s v="Low"/>
    <x v="0"/>
    <s v="21-Jan-24"/>
    <x v="3"/>
    <s v="-"/>
    <n v="7"/>
    <x v="0"/>
    <s v="Matched"/>
    <x v="0"/>
  </r>
  <r>
    <s v="INV-018"/>
    <x v="0"/>
    <x v="3"/>
    <d v="2024-01-19T00:00:00"/>
    <x v="0"/>
    <s v="PO-118"/>
    <s v="GRN-218"/>
    <n v="52000"/>
    <s v="AP-ELEC"/>
    <x v="0"/>
    <s v="Invoice"/>
    <s v="Funded"/>
    <s v="Normal"/>
    <x v="0"/>
    <s v="26-Jan-24"/>
    <x v="4"/>
    <s v="-"/>
    <n v="7"/>
    <x v="0"/>
    <s v="Matched"/>
    <x v="0"/>
  </r>
  <r>
    <s v="INV-023"/>
    <x v="0"/>
    <x v="0"/>
    <d v="2024-01-24T00:00:00"/>
    <x v="0"/>
    <s v="PO-123"/>
    <s v="GRN-223"/>
    <n v="77000"/>
    <s v="AP-ELEC"/>
    <x v="0"/>
    <s v="Invoice"/>
    <s v="Funded"/>
    <s v="Normal"/>
    <x v="2"/>
    <s v="31-Jan-24"/>
    <x v="1"/>
    <s v="Awaiting approver"/>
    <s v="-"/>
    <x v="1"/>
    <s v="Matched"/>
    <x v="0"/>
  </r>
  <r>
    <s v="INV-028"/>
    <x v="0"/>
    <x v="1"/>
    <d v="2024-01-29T00:00:00"/>
    <x v="0"/>
    <s v="PO-128"/>
    <s v="GRN-228"/>
    <n v="66000"/>
    <s v="AP-ELEC"/>
    <x v="0"/>
    <s v="Invoice"/>
    <s v="Funded"/>
    <s v="Low"/>
    <x v="0"/>
    <s v="05-Feb-24"/>
    <x v="5"/>
    <s v="-"/>
    <n v="7"/>
    <x v="0"/>
    <s v="Matched"/>
    <x v="0"/>
  </r>
  <r>
    <s v="INV-002"/>
    <x v="1"/>
    <x v="3"/>
    <d v="2024-01-03T00:00:00"/>
    <x v="0"/>
    <s v="PO-102"/>
    <s v="GRN-202"/>
    <n v="78000"/>
    <s v="AP-CIVIL"/>
    <x v="1"/>
    <s v="Invoice"/>
    <s v="Funded"/>
    <s v="Normal"/>
    <x v="0"/>
    <s v="10-Jan-24"/>
    <x v="0"/>
    <s v="-"/>
    <n v="7"/>
    <x v="0"/>
    <s v="Matched"/>
    <x v="0"/>
  </r>
  <r>
    <s v="INV-152"/>
    <x v="1"/>
    <x v="3"/>
    <d v="2024-01-04T00:00:00"/>
    <x v="0"/>
    <s v="PO-102"/>
    <s v="GRN-202"/>
    <n v="78000"/>
    <s v="AP-CIVIL"/>
    <x v="1"/>
    <s v="Invoice"/>
    <s v="Funded"/>
    <s v="Normal"/>
    <x v="1"/>
    <s v="11-Jan-24"/>
    <x v="1"/>
    <s v="Duplicate of INV-002"/>
    <s v="-"/>
    <x v="1"/>
    <s v="Matched"/>
    <x v="1"/>
  </r>
  <r>
    <s v="INV-007"/>
    <x v="1"/>
    <x v="0"/>
    <d v="2024-01-08T00:00:00"/>
    <x v="0"/>
    <s v="PO-107"/>
    <s v="GRN-207"/>
    <n v="145000"/>
    <s v="AP-CIVIL"/>
    <x v="1"/>
    <s v="Invoice"/>
    <s v="Funded"/>
    <s v="Urgent"/>
    <x v="0"/>
    <s v="15-Jan-24"/>
    <x v="6"/>
    <s v="-"/>
    <n v="6"/>
    <x v="0"/>
    <s v="Matched"/>
    <x v="0"/>
  </r>
  <r>
    <s v="INV-157"/>
    <x v="1"/>
    <x v="0"/>
    <d v="2024-01-09T00:00:00"/>
    <x v="0"/>
    <s v="PO-107"/>
    <s v="GRN-207"/>
    <n v="145000"/>
    <s v="AP-CIVIL"/>
    <x v="1"/>
    <s v="Invoice"/>
    <s v="Funded"/>
    <s v="Urgent"/>
    <x v="1"/>
    <s v="16-Jan-24"/>
    <x v="1"/>
    <s v="Duplicate of INV-007"/>
    <s v="-"/>
    <x v="1"/>
    <s v="Matched"/>
    <x v="1"/>
  </r>
  <r>
    <s v="INV-012"/>
    <x v="1"/>
    <x v="1"/>
    <d v="2024-01-13T00:00:00"/>
    <x v="0"/>
    <s v="PO-112"/>
    <s v="GRN-212"/>
    <n v="89000"/>
    <s v="AP-CIVIL"/>
    <x v="1"/>
    <s v="Invoice"/>
    <s v="Funded"/>
    <s v="Normal"/>
    <x v="0"/>
    <s v="20-Jan-24"/>
    <x v="7"/>
    <s v="-"/>
    <n v="7"/>
    <x v="0"/>
    <s v="Matched"/>
    <x v="0"/>
  </r>
  <r>
    <s v="INV-017"/>
    <x v="1"/>
    <x v="2"/>
    <d v="2024-01-18T00:00:00"/>
    <x v="0"/>
    <s v="PO-117"/>
    <s v="GRN-217"/>
    <n v="165000"/>
    <s v="AP-CIVIL"/>
    <x v="1"/>
    <s v="Invoice"/>
    <s v="Funded"/>
    <s v="Normal"/>
    <x v="0"/>
    <s v="25-Jan-24"/>
    <x v="8"/>
    <s v="-"/>
    <n v="7"/>
    <x v="0"/>
    <s v="Matched"/>
    <x v="0"/>
  </r>
  <r>
    <s v="INV-022"/>
    <x v="1"/>
    <x v="3"/>
    <d v="2024-01-23T00:00:00"/>
    <x v="0"/>
    <s v="PO-122"/>
    <s v="GRN-222"/>
    <n v="43000"/>
    <s v="AP-CIVIL"/>
    <x v="1"/>
    <s v="Invoice"/>
    <s v="Pending Funds"/>
    <s v="Urgent"/>
    <x v="1"/>
    <s v="30-Jan-24"/>
    <x v="1"/>
    <s v="Funds not released"/>
    <s v="-"/>
    <x v="1"/>
    <s v="Matched"/>
    <x v="0"/>
  </r>
  <r>
    <s v="INV-027"/>
    <x v="1"/>
    <x v="0"/>
    <d v="2024-01-28T00:00:00"/>
    <x v="0"/>
    <s v="PO-127"/>
    <s v="GRN-227"/>
    <n v="91000"/>
    <s v="AP-CIVIL"/>
    <x v="1"/>
    <s v="Invoice"/>
    <s v="Funded"/>
    <s v="Normal"/>
    <x v="0"/>
    <s v="04-Feb-24"/>
    <x v="9"/>
    <s v="-"/>
    <n v="7"/>
    <x v="0"/>
    <s v="Matched"/>
    <x v="0"/>
  </r>
  <r>
    <s v="INV-001"/>
    <x v="2"/>
    <x v="2"/>
    <d v="2024-01-02T00:00:00"/>
    <x v="0"/>
    <s v="PO-101"/>
    <s v="GRN-201"/>
    <n v="45000"/>
    <s v="AP-SUPPLY"/>
    <x v="2"/>
    <s v="Invoice"/>
    <s v="Funded"/>
    <s v="Normal"/>
    <x v="0"/>
    <s v="09-Jan-24"/>
    <x v="10"/>
    <s v="-"/>
    <n v="6"/>
    <x v="0"/>
    <s v="Matched"/>
    <x v="0"/>
  </r>
  <r>
    <s v="INV-151"/>
    <x v="2"/>
    <x v="2"/>
    <d v="2024-01-03T00:00:00"/>
    <x v="0"/>
    <s v="PO-101"/>
    <s v="GRN-201"/>
    <n v="45000"/>
    <s v="AP-SUPPLY"/>
    <x v="2"/>
    <s v="Invoice"/>
    <s v="Funded"/>
    <s v="Normal"/>
    <x v="1"/>
    <s v="10-Jan-24"/>
    <x v="1"/>
    <s v="Duplicate of INV-001"/>
    <s v="-"/>
    <x v="1"/>
    <s v="Matched"/>
    <x v="1"/>
  </r>
  <r>
    <s v="INV-006"/>
    <x v="2"/>
    <x v="3"/>
    <d v="2024-01-07T00:00:00"/>
    <x v="0"/>
    <s v="PO-106"/>
    <s v="GRN-206"/>
    <n v="23000"/>
    <s v="AP-SUPPLY"/>
    <x v="2"/>
    <s v="Invoice"/>
    <s v="Funded"/>
    <s v="Low"/>
    <x v="0"/>
    <s v="14-Jan-24"/>
    <x v="6"/>
    <s v="-"/>
    <n v="7"/>
    <x v="0"/>
    <s v="Matched"/>
    <x v="0"/>
  </r>
  <r>
    <s v="INV-156"/>
    <x v="2"/>
    <x v="3"/>
    <d v="2024-01-08T00:00:00"/>
    <x v="0"/>
    <s v="PO-106"/>
    <s v="GRN-206"/>
    <n v="23000"/>
    <s v="AP-SUPPLY"/>
    <x v="2"/>
    <s v="Invoice"/>
    <s v="Funded"/>
    <s v="Low"/>
    <x v="1"/>
    <s v="15-Jan-24"/>
    <x v="1"/>
    <s v="Duplicate detected"/>
    <s v="-"/>
    <x v="1"/>
    <s v="Matched"/>
    <x v="1"/>
  </r>
  <r>
    <s v="INV-011"/>
    <x v="2"/>
    <x v="0"/>
    <d v="2024-01-12T00:00:00"/>
    <x v="0"/>
    <s v="PO-111"/>
    <s v="GRN-211"/>
    <n v="54000"/>
    <s v="AP-SUPPLY"/>
    <x v="2"/>
    <s v="Invoice"/>
    <s v="Funded"/>
    <s v="Normal"/>
    <x v="0"/>
    <s v="19-Jan-24"/>
    <x v="11"/>
    <s v="-"/>
    <n v="7"/>
    <x v="0"/>
    <s v="Matched"/>
    <x v="0"/>
  </r>
  <r>
    <s v="INV-016"/>
    <x v="2"/>
    <x v="1"/>
    <d v="2024-01-17T00:00:00"/>
    <x v="0"/>
    <s v="PO-116"/>
    <s v="GRN-216"/>
    <n v="29000"/>
    <s v="AP-SUPPLY"/>
    <x v="2"/>
    <s v="Invoice"/>
    <s v="Funded"/>
    <s v="Low"/>
    <x v="0"/>
    <s v="24-Jan-24"/>
    <x v="12"/>
    <s v="-"/>
    <n v="7"/>
    <x v="0"/>
    <s v="Matched"/>
    <x v="0"/>
  </r>
  <r>
    <s v="INV-021"/>
    <x v="2"/>
    <x v="2"/>
    <d v="2024-01-22T00:00:00"/>
    <x v="0"/>
    <s v="PO-121"/>
    <s v="GRN-221"/>
    <n v="61000"/>
    <s v="AP-SUPPLY"/>
    <x v="2"/>
    <s v="Invoice"/>
    <s v="Funded"/>
    <s v="Normal"/>
    <x v="2"/>
    <s v="29-Jan-24"/>
    <x v="1"/>
    <s v="Awaiting approver"/>
    <s v="-"/>
    <x v="1"/>
    <s v="Matched"/>
    <x v="0"/>
  </r>
  <r>
    <s v="INV-026"/>
    <x v="2"/>
    <x v="3"/>
    <d v="2024-01-27T00:00:00"/>
    <x v="0"/>
    <s v="PO-126"/>
    <s v="GRN-226"/>
    <n v="48000"/>
    <s v="AP-SUPPLY"/>
    <x v="2"/>
    <s v="Invoice"/>
    <s v="Funded"/>
    <s v="Normal"/>
    <x v="0"/>
    <s v="03-Feb-24"/>
    <x v="13"/>
    <s v="-"/>
    <n v="7"/>
    <x v="0"/>
    <s v="Matched"/>
    <x v="0"/>
  </r>
  <r>
    <s v="INV-005"/>
    <x v="3"/>
    <x v="2"/>
    <d v="2024-01-06T00:00:00"/>
    <x v="0"/>
    <s v="PO-105"/>
    <s v="GRN-205"/>
    <n v="92000"/>
    <s v="AP-UTIL"/>
    <x v="3"/>
    <s v="Invoice"/>
    <s v="Funded"/>
    <s v="Normal"/>
    <x v="0"/>
    <s v="13-Jan-24"/>
    <x v="14"/>
    <s v="-"/>
    <n v="7"/>
    <x v="0"/>
    <s v="Matched"/>
    <x v="0"/>
  </r>
  <r>
    <s v="INV-155"/>
    <x v="3"/>
    <x v="2"/>
    <d v="2024-01-07T00:00:00"/>
    <x v="0"/>
    <s v="PO-105"/>
    <s v="GRN-205"/>
    <n v="92000"/>
    <s v="AP-UTIL"/>
    <x v="3"/>
    <s v="Invoice"/>
    <s v="Funded"/>
    <s v="Urgent"/>
    <x v="1"/>
    <s v="14-Jan-24"/>
    <x v="1"/>
    <s v="Duplicate of INV-005"/>
    <s v="-"/>
    <x v="1"/>
    <s v="Matched"/>
    <x v="1"/>
  </r>
  <r>
    <s v="INV-010"/>
    <x v="3"/>
    <x v="3"/>
    <d v="2024-01-11T00:00:00"/>
    <x v="0"/>
    <s v="PO-110"/>
    <s v="GRN-210"/>
    <n v="112000"/>
    <s v="AP-UTIL"/>
    <x v="3"/>
    <s v="Invoice"/>
    <s v="Funded"/>
    <s v="Urgent"/>
    <x v="0"/>
    <s v="18-Jan-24"/>
    <x v="15"/>
    <s v="-"/>
    <n v="6"/>
    <x v="0"/>
    <s v="Matched"/>
    <x v="0"/>
  </r>
  <r>
    <s v="INV-160"/>
    <x v="3"/>
    <x v="3"/>
    <d v="2024-01-12T00:00:00"/>
    <x v="0"/>
    <s v="PO-110"/>
    <s v="GRN-210"/>
    <n v="112000"/>
    <s v="AP-UTIL"/>
    <x v="3"/>
    <s v="Invoice"/>
    <s v="Funded"/>
    <s v="Urgent"/>
    <x v="1"/>
    <s v="19-Jan-24"/>
    <x v="1"/>
    <s v="Duplicate of INV-010"/>
    <s v="-"/>
    <x v="1"/>
    <s v="Matched"/>
    <x v="1"/>
  </r>
  <r>
    <s v="INV-015"/>
    <x v="3"/>
    <x v="0"/>
    <d v="2024-01-16T00:00:00"/>
    <x v="0"/>
    <s v="PO-115"/>
    <s v="GRN-215"/>
    <n v="128000"/>
    <s v="AP-UTIL"/>
    <x v="3"/>
    <s v="Invoice"/>
    <s v="Funded"/>
    <s v="Urgent"/>
    <x v="0"/>
    <s v="23-Jan-24"/>
    <x v="16"/>
    <s v="-"/>
    <n v="6"/>
    <x v="0"/>
    <s v="Matched"/>
    <x v="0"/>
  </r>
  <r>
    <s v="INV-020"/>
    <x v="3"/>
    <x v="1"/>
    <d v="2024-01-21T00:00:00"/>
    <x v="0"/>
    <s v="PO-120"/>
    <s v="GRN-220"/>
    <n v="97000"/>
    <s v="AP-UTIL"/>
    <x v="3"/>
    <s v="Invoice"/>
    <s v="Funded"/>
    <s v="Normal"/>
    <x v="0"/>
    <s v="28-Jan-24"/>
    <x v="17"/>
    <s v="-"/>
    <n v="7"/>
    <x v="0"/>
    <s v="Matched"/>
    <x v="0"/>
  </r>
  <r>
    <s v="INV-025"/>
    <x v="3"/>
    <x v="2"/>
    <d v="2024-01-26T00:00:00"/>
    <x v="0"/>
    <s v="PO-125"/>
    <s v="GRN-225"/>
    <n v="118000"/>
    <s v="AP-UTIL"/>
    <x v="3"/>
    <s v="Invoice"/>
    <s v="Funded"/>
    <s v="Urgent"/>
    <x v="2"/>
    <s v="02-Feb-24"/>
    <x v="1"/>
    <s v="Awaiting approver"/>
    <s v="-"/>
    <x v="1"/>
    <s v="Matched"/>
    <x v="0"/>
  </r>
  <r>
    <s v="INV-030"/>
    <x v="3"/>
    <x v="3"/>
    <d v="2024-01-31T00:00:00"/>
    <x v="0"/>
    <s v="PO-130"/>
    <s v="GRN-230"/>
    <n v="134000"/>
    <s v="AP-UTIL"/>
    <x v="3"/>
    <s v="Invoice"/>
    <s v="Funded"/>
    <s v="Urgent"/>
    <x v="0"/>
    <s v="07-Feb-24"/>
    <x v="18"/>
    <s v="-"/>
    <n v="6"/>
    <x v="0"/>
    <s v="Matched"/>
    <x v="0"/>
  </r>
  <r>
    <s v="INV-004"/>
    <x v="4"/>
    <x v="1"/>
    <d v="2024-01-05T00:00:00"/>
    <x v="0"/>
    <s v="PO-104"/>
    <s v="GRN-204"/>
    <n v="56000"/>
    <s v="AP-MAINT"/>
    <x v="4"/>
    <s v="Invoice"/>
    <s v="Funded"/>
    <s v="Normal"/>
    <x v="0"/>
    <s v="12-Jan-24"/>
    <x v="19"/>
    <s v="-"/>
    <n v="7"/>
    <x v="0"/>
    <s v="Matched"/>
    <x v="0"/>
  </r>
  <r>
    <s v="INV-154"/>
    <x v="4"/>
    <x v="1"/>
    <d v="2024-01-06T00:00:00"/>
    <x v="0"/>
    <s v="PO-104"/>
    <s v="GRN-204"/>
    <n v="56000"/>
    <s v="AP-MAINT"/>
    <x v="4"/>
    <s v="Invoice"/>
    <s v="Funded"/>
    <s v="Normal"/>
    <x v="1"/>
    <s v="13-Jan-24"/>
    <x v="1"/>
    <s v="Duplicate detected"/>
    <s v="-"/>
    <x v="1"/>
    <s v="Matched"/>
    <x v="1"/>
  </r>
  <r>
    <s v="INV-009"/>
    <x v="4"/>
    <x v="2"/>
    <d v="2024-01-10T00:00:00"/>
    <x v="0"/>
    <s v="PO-109"/>
    <s v="GRN-209"/>
    <n v="38000"/>
    <s v="AP-MAINT"/>
    <x v="4"/>
    <s v="Invoice"/>
    <s v="Funded"/>
    <s v="Normal"/>
    <x v="0"/>
    <s v="17-Jan-24"/>
    <x v="15"/>
    <s v="-"/>
    <n v="7"/>
    <x v="0"/>
    <s v="Matched"/>
    <x v="0"/>
  </r>
  <r>
    <s v="INV-159"/>
    <x v="4"/>
    <x v="2"/>
    <d v="2024-01-11T00:00:00"/>
    <x v="0"/>
    <s v="PO-109"/>
    <s v="GRN-209"/>
    <n v="38000"/>
    <s v="AP-MAINT"/>
    <x v="4"/>
    <s v="Invoice"/>
    <s v="Funded"/>
    <s v="Normal"/>
    <x v="1"/>
    <s v="18-Jan-24"/>
    <x v="1"/>
    <s v="Duplicate detected"/>
    <s v="-"/>
    <x v="1"/>
    <s v="Matched"/>
    <x v="1"/>
  </r>
  <r>
    <s v="INV-014"/>
    <x v="4"/>
    <x v="3"/>
    <d v="2024-01-15T00:00:00"/>
    <x v="0"/>
    <s v="PO-114"/>
    <s v="GRN-214"/>
    <n v="73000"/>
    <s v="AP-MAINT"/>
    <x v="4"/>
    <s v="Invoice"/>
    <s v="Funded"/>
    <s v="Normal"/>
    <x v="0"/>
    <s v="22-Jan-24"/>
    <x v="16"/>
    <s v="-"/>
    <n v="7"/>
    <x v="0"/>
    <s v="Matched"/>
    <x v="0"/>
  </r>
  <r>
    <s v="INV-019"/>
    <x v="4"/>
    <x v="0"/>
    <d v="2024-01-20T00:00:00"/>
    <x v="0"/>
    <s v="PO-119"/>
    <s v="GRN-219"/>
    <n v="84000"/>
    <s v="AP-MAINT"/>
    <x v="4"/>
    <s v="Invoice"/>
    <s v="Funded"/>
    <s v="Urgent"/>
    <x v="0"/>
    <s v="27-Jan-24"/>
    <x v="4"/>
    <s v="-"/>
    <n v="6"/>
    <x v="0"/>
    <s v="Matched"/>
    <x v="0"/>
  </r>
  <r>
    <s v="INV-024"/>
    <x v="4"/>
    <x v="1"/>
    <d v="2024-01-25T00:00:00"/>
    <x v="0"/>
    <s v="PO-124"/>
    <s v="GRN-224"/>
    <n v="35000"/>
    <s v="AP-MAINT"/>
    <x v="4"/>
    <s v="Invoice"/>
    <s v="Pending Funds"/>
    <s v="Low"/>
    <x v="1"/>
    <s v="01-Feb-24"/>
    <x v="1"/>
    <s v="Funds not released"/>
    <s v="-"/>
    <x v="1"/>
    <s v="Matched"/>
    <x v="0"/>
  </r>
  <r>
    <s v="INV-029"/>
    <x v="4"/>
    <x v="2"/>
    <d v="2024-01-30T00:00:00"/>
    <x v="0"/>
    <s v="PO-129"/>
    <s v="GRN-229"/>
    <n v="53000"/>
    <s v="AP-MAINT"/>
    <x v="4"/>
    <s v="Invoice"/>
    <s v="Funded"/>
    <s v="Normal"/>
    <x v="0"/>
    <s v="06-Feb-24"/>
    <x v="18"/>
    <s v="-"/>
    <n v="7"/>
    <x v="0"/>
    <s v="Matched"/>
    <x v="0"/>
  </r>
  <r>
    <s v="INV-033"/>
    <x v="0"/>
    <x v="2"/>
    <d v="2024-02-03T00:00:00"/>
    <x v="1"/>
    <s v="PO-133"/>
    <s v="GRN-233"/>
    <n v="44000"/>
    <s v="AP-ELEC"/>
    <x v="0"/>
    <s v="Invoice"/>
    <s v="Funded"/>
    <s v="Normal"/>
    <x v="0"/>
    <s v="10-Feb-24"/>
    <x v="20"/>
    <s v="-"/>
    <n v="7"/>
    <x v="0"/>
    <s v="Matched"/>
    <x v="0"/>
  </r>
  <r>
    <s v="INV-038"/>
    <x v="0"/>
    <x v="3"/>
    <d v="2024-02-08T00:00:00"/>
    <x v="1"/>
    <s v="PO-138"/>
    <s v="GRN-238"/>
    <n v="58000"/>
    <s v="AP-ELEC"/>
    <x v="0"/>
    <s v="Invoice"/>
    <s v="Funded"/>
    <s v="Normal"/>
    <x v="0"/>
    <s v="15-Feb-24"/>
    <x v="21"/>
    <s v="-"/>
    <n v="7"/>
    <x v="0"/>
    <s v="Matched"/>
    <x v="0"/>
  </r>
  <r>
    <s v="INV-043"/>
    <x v="0"/>
    <x v="0"/>
    <d v="2024-02-13T00:00:00"/>
    <x v="1"/>
    <s v="PO-143"/>
    <s v="GRN-243"/>
    <n v="82000"/>
    <s v="AP-ELEC"/>
    <x v="0"/>
    <s v="Invoice"/>
    <s v="Funded"/>
    <s v="Low"/>
    <x v="0"/>
    <s v="20-Feb-24"/>
    <x v="22"/>
    <s v="Late by 1 day"/>
    <n v="8"/>
    <x v="2"/>
    <s v="Matched"/>
    <x v="0"/>
  </r>
  <r>
    <s v="INV-048"/>
    <x v="0"/>
    <x v="1"/>
    <d v="2024-02-18T00:00:00"/>
    <x v="1"/>
    <s v="PO-148"/>
    <s v="GRN-248"/>
    <n v="63000"/>
    <s v="AP-ELEC"/>
    <x v="0"/>
    <s v="Invoice"/>
    <s v="Funded"/>
    <s v="Normal"/>
    <x v="0"/>
    <s v="25-Feb-24"/>
    <x v="23"/>
    <s v="-"/>
    <n v="7"/>
    <x v="0"/>
    <s v="Matched"/>
    <x v="0"/>
  </r>
  <r>
    <s v="INV-053"/>
    <x v="0"/>
    <x v="2"/>
    <d v="2024-02-23T00:00:00"/>
    <x v="1"/>
    <s v="PO-153"/>
    <s v="GRN-253"/>
    <n v="71000"/>
    <s v="AP-ELEC"/>
    <x v="0"/>
    <s v="Invoice"/>
    <s v="Funded"/>
    <s v="Normal"/>
    <x v="0"/>
    <s v="01-Mar-24"/>
    <x v="24"/>
    <s v="-"/>
    <n v="7"/>
    <x v="0"/>
    <s v="Matched"/>
    <x v="0"/>
  </r>
  <r>
    <s v="INV-058"/>
    <x v="0"/>
    <x v="3"/>
    <d v="2024-02-28T00:00:00"/>
    <x v="1"/>
    <s v="PO-158"/>
    <s v="GRN-258"/>
    <n v="39000"/>
    <s v="AP-ELEC"/>
    <x v="0"/>
    <s v="Invoice"/>
    <s v="Funded"/>
    <s v="Normal"/>
    <x v="0"/>
    <s v="06-Mar-24"/>
    <x v="25"/>
    <s v="Late payment"/>
    <n v="9"/>
    <x v="2"/>
    <s v="Matched"/>
    <x v="0"/>
  </r>
  <r>
    <s v="INV-032"/>
    <x v="1"/>
    <x v="1"/>
    <d v="2024-02-02T00:00:00"/>
    <x v="1"/>
    <s v="PO-132"/>
    <s v="GRN-232"/>
    <n v="108000"/>
    <s v="AP-CIVIL"/>
    <x v="1"/>
    <s v="Invoice"/>
    <s v="Funded"/>
    <s v="Normal"/>
    <x v="0"/>
    <s v="09-Feb-24"/>
    <x v="26"/>
    <s v="-"/>
    <n v="7"/>
    <x v="0"/>
    <s v="Matched"/>
    <x v="0"/>
  </r>
  <r>
    <s v="INV-037"/>
    <x v="1"/>
    <x v="2"/>
    <d v="2024-02-07T00:00:00"/>
    <x v="1"/>
    <s v="PO-137"/>
    <s v="GRN-237"/>
    <n v="72000"/>
    <s v="AP-CIVIL"/>
    <x v="1"/>
    <s v="Invoice"/>
    <s v="Funded"/>
    <s v="Normal"/>
    <x v="2"/>
    <s v="14-Feb-24"/>
    <x v="1"/>
    <s v="Awaiting approver"/>
    <s v="-"/>
    <x v="1"/>
    <s v="Matched"/>
    <x v="0"/>
  </r>
  <r>
    <s v="INV-042"/>
    <x v="1"/>
    <x v="3"/>
    <d v="2024-02-12T00:00:00"/>
    <x v="1"/>
    <s v="PO-142"/>
    <s v="GRN-242"/>
    <n v="55000"/>
    <s v="AP-CIVIL"/>
    <x v="1"/>
    <s v="Invoice"/>
    <s v="Funded"/>
    <s v="Normal"/>
    <x v="0"/>
    <s v="19-Feb-24"/>
    <x v="27"/>
    <s v="Late payment"/>
    <n v="12"/>
    <x v="2"/>
    <s v="Matched"/>
    <x v="0"/>
  </r>
  <r>
    <s v="INV-047"/>
    <x v="1"/>
    <x v="0"/>
    <d v="2024-02-17T00:00:00"/>
    <x v="1"/>
    <s v="PO-147"/>
    <s v="GRN-247"/>
    <n v="119000"/>
    <s v="AP-CIVIL"/>
    <x v="1"/>
    <s v="Invoice"/>
    <s v="Funded"/>
    <s v="Normal"/>
    <x v="0"/>
    <s v="24-Feb-24"/>
    <x v="27"/>
    <s v="-"/>
    <n v="7"/>
    <x v="0"/>
    <s v="Matched"/>
    <x v="0"/>
  </r>
  <r>
    <s v="INV-052"/>
    <x v="1"/>
    <x v="1"/>
    <d v="2024-02-22T00:00:00"/>
    <x v="1"/>
    <s v="PO-152"/>
    <s v="GRN-252"/>
    <n v="96000"/>
    <s v="AP-CIVIL"/>
    <x v="1"/>
    <s v="Invoice"/>
    <s v="Funded"/>
    <s v="Normal"/>
    <x v="0"/>
    <s v="29-Feb-24"/>
    <x v="28"/>
    <s v="-"/>
    <n v="7"/>
    <x v="0"/>
    <s v="Matched"/>
    <x v="0"/>
  </r>
  <r>
    <s v="INV-057"/>
    <x v="1"/>
    <x v="2"/>
    <d v="2024-02-27T00:00:00"/>
    <x v="1"/>
    <s v="PO-157"/>
    <s v="GRN-257"/>
    <n v="83000"/>
    <s v="AP-CIVIL"/>
    <x v="1"/>
    <s v="Invoice"/>
    <s v="Funded"/>
    <s v="Normal"/>
    <x v="0"/>
    <s v="05-Mar-24"/>
    <x v="29"/>
    <s v="-"/>
    <n v="7"/>
    <x v="0"/>
    <s v="Matched"/>
    <x v="0"/>
  </r>
  <r>
    <s v="INV-031"/>
    <x v="2"/>
    <x v="0"/>
    <d v="2024-02-01T00:00:00"/>
    <x v="1"/>
    <s v="PO-131"/>
    <s v="GRN-231"/>
    <n v="27000"/>
    <s v="AP-SUPPLY"/>
    <x v="2"/>
    <s v="Invoice"/>
    <s v="Funded"/>
    <s v="Low"/>
    <x v="0"/>
    <s v="08-Feb-24"/>
    <x v="30"/>
    <s v="-"/>
    <n v="7"/>
    <x v="0"/>
    <s v="Matched"/>
    <x v="0"/>
  </r>
  <r>
    <s v="INV-036"/>
    <x v="2"/>
    <x v="1"/>
    <d v="2024-02-06T00:00:00"/>
    <x v="1"/>
    <s v="PO-136"/>
    <s v="GRN-236"/>
    <n v="36000"/>
    <s v="AP-SUPPLY"/>
    <x v="2"/>
    <s v="Invoice"/>
    <s v="Pending Funds"/>
    <s v="Low"/>
    <x v="1"/>
    <s v="13-Feb-24"/>
    <x v="1"/>
    <s v="Funds not released"/>
    <s v="-"/>
    <x v="1"/>
    <s v="Matched"/>
    <x v="0"/>
  </r>
  <r>
    <s v="INV-041"/>
    <x v="2"/>
    <x v="2"/>
    <d v="2024-02-11T00:00:00"/>
    <x v="1"/>
    <s v="PO-141"/>
    <s v="GRN-241"/>
    <n v="68000"/>
    <s v="AP-SUPPLY"/>
    <x v="2"/>
    <s v="Invoice"/>
    <s v="Funded"/>
    <s v="Normal"/>
    <x v="0"/>
    <s v="18-Feb-24"/>
    <x v="31"/>
    <s v="Late payment"/>
    <n v="11"/>
    <x v="2"/>
    <s v="Matched"/>
    <x v="0"/>
  </r>
  <r>
    <s v="INV-046"/>
    <x v="2"/>
    <x v="3"/>
    <d v="2024-02-16T00:00:00"/>
    <x v="1"/>
    <s v="PO-146"/>
    <s v="GRN-246"/>
    <n v="34000"/>
    <s v="AP-SUPPLY"/>
    <x v="2"/>
    <s v="Invoice"/>
    <s v="Funded"/>
    <s v="Low"/>
    <x v="0"/>
    <s v="23-Feb-24"/>
    <x v="32"/>
    <s v="-"/>
    <n v="7"/>
    <x v="0"/>
    <s v="Matched"/>
    <x v="0"/>
  </r>
  <r>
    <s v="INV-051"/>
    <x v="2"/>
    <x v="0"/>
    <d v="2024-02-21T00:00:00"/>
    <x v="1"/>
    <s v="PO-151"/>
    <s v="GRN-251"/>
    <n v="42000"/>
    <s v="AP-SUPPLY"/>
    <x v="2"/>
    <s v="Invoice"/>
    <s v="Funded"/>
    <s v="Low"/>
    <x v="0"/>
    <s v="28-Feb-24"/>
    <x v="33"/>
    <s v="-"/>
    <n v="7"/>
    <x v="0"/>
    <s v="Matched"/>
    <x v="0"/>
  </r>
  <r>
    <s v="INV-056"/>
    <x v="2"/>
    <x v="1"/>
    <d v="2024-02-26T00:00:00"/>
    <x v="1"/>
    <s v="PO-156"/>
    <s v="GRN-256"/>
    <n v="57000"/>
    <s v="AP-SUPPLY"/>
    <x v="2"/>
    <s v="Invoice"/>
    <s v="Funded"/>
    <s v="Low"/>
    <x v="0"/>
    <s v="04-Mar-24"/>
    <x v="34"/>
    <s v="-"/>
    <n v="7"/>
    <x v="0"/>
    <s v="Matched"/>
    <x v="0"/>
  </r>
  <r>
    <s v="INV-035"/>
    <x v="3"/>
    <x v="0"/>
    <d v="2024-02-05T00:00:00"/>
    <x v="1"/>
    <s v="PO-135"/>
    <s v="GRN-235"/>
    <n v="156000"/>
    <s v="AP-UTIL"/>
    <x v="3"/>
    <s v="Invoice"/>
    <s v="Funded"/>
    <s v="Normal"/>
    <x v="0"/>
    <s v="12-Feb-24"/>
    <x v="35"/>
    <s v="-"/>
    <n v="7"/>
    <x v="0"/>
    <s v="Matched"/>
    <x v="0"/>
  </r>
  <r>
    <s v="INV-040"/>
    <x v="3"/>
    <x v="1"/>
    <d v="2024-02-10T00:00:00"/>
    <x v="1"/>
    <s v="PO-140"/>
    <s v="GRN-240"/>
    <n v="142000"/>
    <s v="AP-UTIL"/>
    <x v="3"/>
    <s v="Invoice"/>
    <s v="Funded"/>
    <s v="Normal"/>
    <x v="0"/>
    <s v="17-Feb-24"/>
    <x v="36"/>
    <s v="-"/>
    <n v="7"/>
    <x v="0"/>
    <s v="Matched"/>
    <x v="0"/>
  </r>
  <r>
    <s v="INV-045"/>
    <x v="3"/>
    <x v="2"/>
    <d v="2024-02-15T00:00:00"/>
    <x v="1"/>
    <s v="PO-145"/>
    <s v="GRN-245"/>
    <n v="175000"/>
    <s v="AP-UTIL"/>
    <x v="3"/>
    <s v="Invoice"/>
    <s v="Funded"/>
    <s v="Urgent"/>
    <x v="0"/>
    <s v="22-Feb-24"/>
    <x v="31"/>
    <s v="-"/>
    <n v="7"/>
    <x v="0"/>
    <s v="Matched"/>
    <x v="0"/>
  </r>
  <r>
    <s v="INV-050"/>
    <x v="3"/>
    <x v="3"/>
    <d v="2024-02-20T00:00:00"/>
    <x v="1"/>
    <s v="PO-150"/>
    <s v="GRN-250"/>
    <n v="107000"/>
    <s v="AP-UTIL"/>
    <x v="3"/>
    <s v="Invoice"/>
    <s v="Funded"/>
    <s v="Normal"/>
    <x v="0"/>
    <s v="27-Feb-24"/>
    <x v="37"/>
    <s v="-"/>
    <n v="7"/>
    <x v="0"/>
    <s v="Matched"/>
    <x v="0"/>
  </r>
  <r>
    <s v="INV-055"/>
    <x v="3"/>
    <x v="0"/>
    <d v="2024-02-25T00:00:00"/>
    <x v="1"/>
    <s v="PO-155"/>
    <s v="GRN-255"/>
    <n v="188000"/>
    <s v="AP-UTIL"/>
    <x v="3"/>
    <s v="Invoice"/>
    <s v="Funded"/>
    <s v="Normal"/>
    <x v="0"/>
    <s v="03-Mar-24"/>
    <x v="38"/>
    <s v="-"/>
    <n v="7"/>
    <x v="0"/>
    <s v="Matched"/>
    <x v="0"/>
  </r>
  <r>
    <s v="INV-034"/>
    <x v="4"/>
    <x v="3"/>
    <d v="2024-02-04T00:00:00"/>
    <x v="1"/>
    <s v="PO-134"/>
    <s v="GRN-234"/>
    <n v="79000"/>
    <s v="AP-MAINT"/>
    <x v="4"/>
    <s v="Invoice"/>
    <s v="Funded"/>
    <s v="Urgent"/>
    <x v="0"/>
    <s v="11-Feb-24"/>
    <x v="20"/>
    <s v="-"/>
    <n v="6"/>
    <x v="0"/>
    <s v="Matched"/>
    <x v="0"/>
  </r>
  <r>
    <s v="INV-039"/>
    <x v="4"/>
    <x v="0"/>
    <d v="2024-02-09T00:00:00"/>
    <x v="1"/>
    <s v="PO-139"/>
    <s v="GRN-239"/>
    <n v="93000"/>
    <s v="AP-MAINT"/>
    <x v="4"/>
    <s v="Invoice"/>
    <s v="Funded"/>
    <s v="Urgent"/>
    <x v="0"/>
    <s v="16-Feb-24"/>
    <x v="21"/>
    <s v="-"/>
    <n v="6"/>
    <x v="0"/>
    <s v="Matched"/>
    <x v="0"/>
  </r>
  <r>
    <s v="INV-044"/>
    <x v="4"/>
    <x v="1"/>
    <d v="2024-02-14T00:00:00"/>
    <x v="1"/>
    <s v="PO-144"/>
    <s v="GRN-244"/>
    <n v="47000"/>
    <s v="AP-MAINT"/>
    <x v="4"/>
    <s v="Invoice"/>
    <s v="Funded"/>
    <s v="Normal"/>
    <x v="0"/>
    <s v="21-Feb-24"/>
    <x v="32"/>
    <s v="Late payment"/>
    <n v="9"/>
    <x v="2"/>
    <s v="Matched"/>
    <x v="0"/>
  </r>
  <r>
    <s v="INV-049"/>
    <x v="4"/>
    <x v="2"/>
    <d v="2024-02-19T00:00:00"/>
    <x v="1"/>
    <s v="PO-149"/>
    <s v="GRN-249"/>
    <n v="88000"/>
    <s v="AP-MAINT"/>
    <x v="4"/>
    <s v="Invoice"/>
    <s v="Funded"/>
    <s v="Urgent"/>
    <x v="0"/>
    <s v="26-Feb-24"/>
    <x v="23"/>
    <s v="-"/>
    <n v="6"/>
    <x v="0"/>
    <s v="Matched"/>
    <x v="0"/>
  </r>
  <r>
    <s v="INV-054"/>
    <x v="4"/>
    <x v="3"/>
    <d v="2024-02-24T00:00:00"/>
    <x v="1"/>
    <s v="PO-154"/>
    <s v="GRN-254"/>
    <n v="49000"/>
    <s v="AP-MAINT"/>
    <x v="4"/>
    <s v="Invoice"/>
    <s v="Funded"/>
    <s v="Urgent"/>
    <x v="0"/>
    <s v="02-Mar-24"/>
    <x v="24"/>
    <s v="-"/>
    <n v="6"/>
    <x v="0"/>
    <s v="Matched"/>
    <x v="0"/>
  </r>
  <r>
    <s v="INV-059"/>
    <x v="4"/>
    <x v="0"/>
    <d v="2024-02-29T00:00:00"/>
    <x v="1"/>
    <s v="PO-159"/>
    <s v="GRN-259"/>
    <n v="114000"/>
    <s v="AP-MAINT"/>
    <x v="4"/>
    <s v="Invoice"/>
    <s v="Funded"/>
    <s v="Urgent"/>
    <x v="0"/>
    <s v="07-Mar-24"/>
    <x v="39"/>
    <s v="-"/>
    <n v="6"/>
    <x v="0"/>
    <s v="Matched"/>
    <x v="0"/>
  </r>
  <r>
    <s v="INV-063"/>
    <x v="0"/>
    <x v="0"/>
    <d v="2024-03-04T00:00:00"/>
    <x v="2"/>
    <s v="MISSING"/>
    <s v="GRN-263"/>
    <n v="91000"/>
    <s v="AP-ELEC"/>
    <x v="0"/>
    <s v="Invoice"/>
    <s v="Pending Funds"/>
    <s v="Normal"/>
    <x v="1"/>
    <s v="11-Mar-24"/>
    <x v="1"/>
    <s v="PO not found"/>
    <s v="-"/>
    <x v="1"/>
    <s v="Mismatched"/>
    <x v="0"/>
  </r>
  <r>
    <s v="INV-068"/>
    <x v="0"/>
    <x v="1"/>
    <d v="2024-03-09T00:00:00"/>
    <x v="2"/>
    <s v="PO-168"/>
    <s v="GRN-268"/>
    <n v="57000"/>
    <s v="AP-ELEC"/>
    <x v="0"/>
    <s v="Invoice"/>
    <s v="Funded"/>
    <s v="Normal"/>
    <x v="0"/>
    <s v="16-Mar-24"/>
    <x v="40"/>
    <s v="-"/>
    <n v="7"/>
    <x v="0"/>
    <s v="Matched"/>
    <x v="0"/>
  </r>
  <r>
    <s v="INV-073"/>
    <x v="0"/>
    <x v="2"/>
    <d v="2024-03-14T00:00:00"/>
    <x v="2"/>
    <s v="PO-173"/>
    <s v="GRN-273"/>
    <n v="68000"/>
    <s v="AP-ELEC"/>
    <x v="0"/>
    <s v="Invoice"/>
    <s v="Funded"/>
    <s v="Normal"/>
    <x v="0"/>
    <s v="21-Mar-24"/>
    <x v="41"/>
    <s v="-"/>
    <n v="7"/>
    <x v="0"/>
    <s v="Matched"/>
    <x v="0"/>
  </r>
  <r>
    <s v="INV-078"/>
    <x v="0"/>
    <x v="3"/>
    <d v="2024-03-19T00:00:00"/>
    <x v="2"/>
    <s v="PO-178"/>
    <s v="GRN-278"/>
    <n v="76000"/>
    <s v="AP-ELEC"/>
    <x v="0"/>
    <s v="Invoice"/>
    <s v="Funded"/>
    <s v="Normal"/>
    <x v="0"/>
    <s v="26-Mar-24"/>
    <x v="42"/>
    <s v="-"/>
    <n v="7"/>
    <x v="0"/>
    <s v="Matched"/>
    <x v="0"/>
  </r>
  <r>
    <s v="INV-083"/>
    <x v="0"/>
    <x v="0"/>
    <d v="2024-03-24T00:00:00"/>
    <x v="2"/>
    <s v="PO-183"/>
    <s v="GRN-283"/>
    <n v="43000"/>
    <s v="AP-ELEC"/>
    <x v="0"/>
    <s v="Invoice"/>
    <s v="Funded"/>
    <s v="Low"/>
    <x v="0"/>
    <s v="31-Mar-24"/>
    <x v="43"/>
    <s v="-"/>
    <n v="7"/>
    <x v="0"/>
    <s v="Matched"/>
    <x v="0"/>
  </r>
  <r>
    <s v="INV-088"/>
    <x v="0"/>
    <x v="1"/>
    <d v="2024-03-29T00:00:00"/>
    <x v="2"/>
    <s v="PO-188"/>
    <s v="GRN-288"/>
    <n v="54000"/>
    <s v="AP-ELEC"/>
    <x v="0"/>
    <s v="Invoice"/>
    <s v="Funded"/>
    <s v="Normal"/>
    <x v="0"/>
    <s v="05-Apr-24"/>
    <x v="44"/>
    <s v="-"/>
    <n v="7"/>
    <x v="0"/>
    <s v="Matched"/>
    <x v="0"/>
  </r>
  <r>
    <s v="INV-062"/>
    <x v="1"/>
    <x v="3"/>
    <d v="2024-03-03T00:00:00"/>
    <x v="2"/>
    <s v="PO-162"/>
    <s v="MISSING"/>
    <n v="48000"/>
    <s v="AP-CIVIL"/>
    <x v="1"/>
    <s v="Invoice"/>
    <s v="Funded"/>
    <s v="Normal"/>
    <x v="1"/>
    <s v="10-Mar-24"/>
    <x v="1"/>
    <s v="GRN not received"/>
    <s v="-"/>
    <x v="1"/>
    <s v="Mismatched"/>
    <x v="0"/>
  </r>
  <r>
    <s v="INV-067"/>
    <x v="1"/>
    <x v="0"/>
    <d v="2024-03-08T00:00:00"/>
    <x v="2"/>
    <s v="PO-167"/>
    <s v="GRN-267"/>
    <n v="86000"/>
    <s v="AP-CIVIL"/>
    <x v="1"/>
    <s v="Invoice"/>
    <s v="Funded"/>
    <s v="Normal"/>
    <x v="0"/>
    <s v="15-Mar-24"/>
    <x v="45"/>
    <s v="-"/>
    <n v="7"/>
    <x v="0"/>
    <s v="Matched"/>
    <x v="0"/>
  </r>
  <r>
    <s v="INV-072"/>
    <x v="1"/>
    <x v="1"/>
    <d v="2024-03-13T00:00:00"/>
    <x v="2"/>
    <s v="PO-172"/>
    <s v="GRN-272"/>
    <n v="103000"/>
    <s v="AP-CIVIL"/>
    <x v="1"/>
    <s v="Invoice"/>
    <s v="Funded"/>
    <s v="Normal"/>
    <x v="0"/>
    <s v="20-Mar-24"/>
    <x v="46"/>
    <s v="-"/>
    <n v="7"/>
    <x v="0"/>
    <s v="Matched"/>
    <x v="0"/>
  </r>
  <r>
    <s v="INV-077"/>
    <x v="1"/>
    <x v="2"/>
    <d v="2024-03-18T00:00:00"/>
    <x v="2"/>
    <s v="PO-177"/>
    <s v="MISSING"/>
    <n v="124000"/>
    <s v="AP-CIVIL"/>
    <x v="1"/>
    <s v="Invoice"/>
    <s v="Funded"/>
    <s v="Normal"/>
    <x v="1"/>
    <s v="25-Mar-24"/>
    <x v="1"/>
    <s v="GRN not received"/>
    <s v="-"/>
    <x v="1"/>
    <s v="Mismatched"/>
    <x v="0"/>
  </r>
  <r>
    <s v="INV-082"/>
    <x v="1"/>
    <x v="3"/>
    <d v="2024-03-23T00:00:00"/>
    <x v="2"/>
    <s v="PO-182"/>
    <s v="GRN-282"/>
    <n v="87000"/>
    <s v="AP-CIVIL"/>
    <x v="1"/>
    <s v="Invoice"/>
    <s v="Funded"/>
    <s v="Normal"/>
    <x v="0"/>
    <s v="30-Mar-24"/>
    <x v="47"/>
    <s v="-"/>
    <n v="7"/>
    <x v="0"/>
    <s v="Matched"/>
    <x v="0"/>
  </r>
  <r>
    <s v="INV-087"/>
    <x v="1"/>
    <x v="0"/>
    <d v="2024-03-28T00:00:00"/>
    <x v="2"/>
    <s v="PO-187"/>
    <s v="GRN-287"/>
    <n v="115000"/>
    <s v="AP-CIVIL"/>
    <x v="1"/>
    <s v="Invoice"/>
    <s v="Pending Funds"/>
    <s v="Urgent"/>
    <x v="1"/>
    <s v="04-Apr-24"/>
    <x v="1"/>
    <s v="Funds not released"/>
    <s v="-"/>
    <x v="1"/>
    <s v="Matched"/>
    <x v="0"/>
  </r>
  <r>
    <s v="INV-076"/>
    <x v="2"/>
    <x v="1"/>
    <d v="2024-03-17T00:00:00"/>
    <x v="2"/>
    <s v="MISSING"/>
    <s v="GRN-276"/>
    <n v="38000"/>
    <s v="AP-SUPPLY"/>
    <x v="2"/>
    <s v="Invoice"/>
    <s v="Pending Funds"/>
    <s v="Low"/>
    <x v="1"/>
    <s v="24-Mar-24"/>
    <x v="1"/>
    <s v="PO not found"/>
    <s v="-"/>
    <x v="1"/>
    <s v="Mismatched"/>
    <x v="0"/>
  </r>
  <r>
    <s v="INV-061"/>
    <x v="2"/>
    <x v="2"/>
    <d v="2024-03-02T00:00:00"/>
    <x v="2"/>
    <s v="MISSING"/>
    <s v="GRN-261"/>
    <n v="74000"/>
    <s v="AP-SUPPLY"/>
    <x v="2"/>
    <s v="Invoice"/>
    <s v="Pending Funds"/>
    <s v="Urgent"/>
    <x v="1"/>
    <s v="09-Mar-24"/>
    <x v="1"/>
    <s v="PO not found"/>
    <s v="-"/>
    <x v="1"/>
    <s v="Mismatched"/>
    <x v="0"/>
  </r>
  <r>
    <s v="INV-066"/>
    <x v="2"/>
    <x v="3"/>
    <d v="2024-03-07T00:00:00"/>
    <x v="2"/>
    <s v="PO-166"/>
    <s v="GRN-266"/>
    <n v="31000"/>
    <s v="AP-SUPPLY"/>
    <x v="2"/>
    <s v="Invoice"/>
    <s v="Funded"/>
    <s v="Low"/>
    <x v="0"/>
    <s v="14-Mar-24"/>
    <x v="48"/>
    <s v="-"/>
    <n v="7"/>
    <x v="0"/>
    <s v="Matched"/>
    <x v="0"/>
  </r>
  <r>
    <s v="INV-071"/>
    <x v="2"/>
    <x v="0"/>
    <d v="2024-03-12T00:00:00"/>
    <x v="2"/>
    <s v="PO-171"/>
    <s v="GRN-271"/>
    <n v="46000"/>
    <s v="AP-SUPPLY"/>
    <x v="2"/>
    <s v="Invoice"/>
    <s v="Funded"/>
    <s v="Low"/>
    <x v="0"/>
    <s v="19-Mar-24"/>
    <x v="49"/>
    <s v="-"/>
    <n v="7"/>
    <x v="0"/>
    <s v="Matched"/>
    <x v="0"/>
  </r>
  <r>
    <s v="INV-081"/>
    <x v="2"/>
    <x v="2"/>
    <d v="2024-03-22T00:00:00"/>
    <x v="2"/>
    <s v="PO-181"/>
    <s v="GRN-281"/>
    <n v="51000"/>
    <s v="AP-SUPPLY"/>
    <x v="2"/>
    <s v="Invoice"/>
    <s v="Funded"/>
    <s v="Normal"/>
    <x v="0"/>
    <s v="29-Mar-24"/>
    <x v="50"/>
    <s v="-"/>
    <n v="7"/>
    <x v="0"/>
    <s v="Matched"/>
    <x v="0"/>
  </r>
  <r>
    <s v="INV-086"/>
    <x v="2"/>
    <x v="3"/>
    <d v="2024-03-27T00:00:00"/>
    <x v="2"/>
    <s v="PO-186"/>
    <s v="GRN-286"/>
    <n v="28000"/>
    <s v="AP-SUPPLY"/>
    <x v="2"/>
    <s v="Invoice"/>
    <s v="Funded"/>
    <s v="Low"/>
    <x v="2"/>
    <s v="03-Apr-24"/>
    <x v="1"/>
    <s v="Awaiting approver"/>
    <s v="-"/>
    <x v="1"/>
    <s v="Matched"/>
    <x v="0"/>
  </r>
  <r>
    <s v="INV-065"/>
    <x v="3"/>
    <x v="2"/>
    <d v="2024-03-06T00:00:00"/>
    <x v="2"/>
    <s v="MISSING"/>
    <s v="GRN-265"/>
    <n v="153000"/>
    <s v="AP-UTIL"/>
    <x v="3"/>
    <s v="Invoice"/>
    <s v="Pending Funds"/>
    <s v="Urgent"/>
    <x v="1"/>
    <s v="13-Mar-24"/>
    <x v="1"/>
    <s v="PO not found"/>
    <s v="-"/>
    <x v="1"/>
    <s v="Mismatched"/>
    <x v="0"/>
  </r>
  <r>
    <s v="INV-060"/>
    <x v="3"/>
    <x v="1"/>
    <d v="2024-03-01T00:00:00"/>
    <x v="2"/>
    <s v="PO-160"/>
    <s v="GRN-260"/>
    <n v="129000"/>
    <s v="AP-UTIL"/>
    <x v="3"/>
    <s v="Invoice"/>
    <s v="Funded"/>
    <s v="Normal"/>
    <x v="0"/>
    <s v="08-Mar-24"/>
    <x v="25"/>
    <s v="-"/>
    <n v="7"/>
    <x v="0"/>
    <s v="Matched"/>
    <x v="0"/>
  </r>
  <r>
    <s v="INV-070"/>
    <x v="3"/>
    <x v="3"/>
    <d v="2024-03-11T00:00:00"/>
    <x v="2"/>
    <s v="PO-170"/>
    <s v="GRN-270"/>
    <n v="141000"/>
    <s v="AP-UTIL"/>
    <x v="3"/>
    <s v="Invoice"/>
    <s v="Funded"/>
    <s v="Normal"/>
    <x v="0"/>
    <s v="18-Mar-24"/>
    <x v="51"/>
    <s v="-"/>
    <n v="7"/>
    <x v="0"/>
    <s v="Matched"/>
    <x v="0"/>
  </r>
  <r>
    <s v="INV-075"/>
    <x v="3"/>
    <x v="0"/>
    <d v="2024-03-16T00:00:00"/>
    <x v="2"/>
    <s v="PO-175"/>
    <s v="GRN-275"/>
    <n v="167000"/>
    <s v="AP-UTIL"/>
    <x v="3"/>
    <s v="Invoice"/>
    <s v="Funded"/>
    <s v="Normal"/>
    <x v="0"/>
    <s v="23-Mar-24"/>
    <x v="52"/>
    <s v="-"/>
    <n v="7"/>
    <x v="0"/>
    <s v="Matched"/>
    <x v="0"/>
  </r>
  <r>
    <s v="INV-080"/>
    <x v="3"/>
    <x v="1"/>
    <d v="2024-03-21T00:00:00"/>
    <x v="2"/>
    <s v="PO-180"/>
    <s v="GRN-280"/>
    <n v="138000"/>
    <s v="AP-UTIL"/>
    <x v="3"/>
    <s v="Invoice"/>
    <s v="Funded"/>
    <s v="Normal"/>
    <x v="0"/>
    <s v="28-Mar-24"/>
    <x v="53"/>
    <s v="-"/>
    <n v="7"/>
    <x v="0"/>
    <s v="Matched"/>
    <x v="0"/>
  </r>
  <r>
    <s v="INV-085"/>
    <x v="3"/>
    <x v="2"/>
    <d v="2024-03-26T00:00:00"/>
    <x v="2"/>
    <s v="PO-185"/>
    <s v="GRN-285"/>
    <n v="194000"/>
    <s v="AP-UTIL"/>
    <x v="3"/>
    <s v="Invoice"/>
    <s v="Funded"/>
    <s v="Normal"/>
    <x v="0"/>
    <s v="02-Apr-24"/>
    <x v="54"/>
    <s v="-"/>
    <n v="7"/>
    <x v="0"/>
    <s v="Matched"/>
    <x v="0"/>
  </r>
  <r>
    <s v="INV-090"/>
    <x v="3"/>
    <x v="3"/>
    <d v="2024-03-31T00:00:00"/>
    <x v="2"/>
    <s v="PO-190"/>
    <s v="GRN-290"/>
    <n v="123000"/>
    <s v="AP-UTIL"/>
    <x v="3"/>
    <s v="Invoice"/>
    <s v="Funded"/>
    <s v="Urgent"/>
    <x v="0"/>
    <s v="07-Apr-24"/>
    <x v="55"/>
    <s v="-"/>
    <n v="6"/>
    <x v="0"/>
    <s v="Matched"/>
    <x v="0"/>
  </r>
  <r>
    <s v="INV-064"/>
    <x v="4"/>
    <x v="1"/>
    <d v="2024-03-05T00:00:00"/>
    <x v="2"/>
    <s v="PO-164"/>
    <s v="MISSING"/>
    <n v="62000"/>
    <s v="AP-MAINT"/>
    <x v="4"/>
    <s v="Invoice"/>
    <s v="Funded"/>
    <s v="Low"/>
    <x v="1"/>
    <s v="12-Mar-24"/>
    <x v="1"/>
    <s v="GRN not received"/>
    <s v="-"/>
    <x v="1"/>
    <s v="Mismatched"/>
    <x v="0"/>
  </r>
  <r>
    <s v="INV-069"/>
    <x v="4"/>
    <x v="2"/>
    <d v="2024-03-10T00:00:00"/>
    <x v="2"/>
    <s v="PO-169"/>
    <s v="GRN-269"/>
    <n v="72000"/>
    <s v="AP-MAINT"/>
    <x v="4"/>
    <s v="Invoice"/>
    <s v="Funded"/>
    <s v="Urgent"/>
    <x v="0"/>
    <s v="17-Mar-24"/>
    <x v="40"/>
    <s v="-"/>
    <n v="6"/>
    <x v="0"/>
    <s v="Matched"/>
    <x v="0"/>
  </r>
  <r>
    <s v="INV-074"/>
    <x v="4"/>
    <x v="3"/>
    <d v="2024-03-15T00:00:00"/>
    <x v="2"/>
    <s v="PO-174"/>
    <s v="GRN-274"/>
    <n v="55000"/>
    <s v="AP-MAINT"/>
    <x v="4"/>
    <s v="Invoice"/>
    <s v="Funded"/>
    <s v="Urgent"/>
    <x v="0"/>
    <s v="22-Mar-24"/>
    <x v="41"/>
    <s v="-"/>
    <n v="6"/>
    <x v="0"/>
    <s v="Matched"/>
    <x v="0"/>
  </r>
  <r>
    <s v="INV-079"/>
    <x v="4"/>
    <x v="0"/>
    <d v="2024-03-20T00:00:00"/>
    <x v="2"/>
    <s v="PO-179"/>
    <s v="GRN-279"/>
    <n v="59000"/>
    <s v="AP-MAINT"/>
    <x v="4"/>
    <s v="Invoice"/>
    <s v="Funded"/>
    <s v="Urgent"/>
    <x v="0"/>
    <s v="27-Mar-24"/>
    <x v="42"/>
    <s v="-"/>
    <n v="6"/>
    <x v="0"/>
    <s v="Matched"/>
    <x v="0"/>
  </r>
  <r>
    <s v="INV-084"/>
    <x v="4"/>
    <x v="1"/>
    <d v="2024-03-25T00:00:00"/>
    <x v="2"/>
    <s v="PO-184"/>
    <s v="GRN-284"/>
    <n v="69000"/>
    <s v="AP-MAINT"/>
    <x v="4"/>
    <s v="Invoice"/>
    <s v="Funded"/>
    <s v="Urgent"/>
    <x v="0"/>
    <s v="01-Apr-24"/>
    <x v="56"/>
    <s v="-"/>
    <n v="7"/>
    <x v="0"/>
    <s v="Matched"/>
    <x v="0"/>
  </r>
  <r>
    <s v="INV-089"/>
    <x v="4"/>
    <x v="2"/>
    <d v="2024-03-30T00:00:00"/>
    <x v="2"/>
    <s v="PO-189"/>
    <s v="GRN-289"/>
    <n v="98000"/>
    <s v="AP-MAINT"/>
    <x v="4"/>
    <s v="Invoice"/>
    <s v="Funded"/>
    <s v="Normal"/>
    <x v="0"/>
    <s v="06-Apr-24"/>
    <x v="55"/>
    <s v="-"/>
    <n v="7"/>
    <x v="0"/>
    <s v="Matched"/>
    <x v="0"/>
  </r>
  <r>
    <s v="INV-093"/>
    <x v="0"/>
    <x v="2"/>
    <d v="2024-04-03T00:00:00"/>
    <x v="3"/>
    <s v="PO-193"/>
    <s v="GRN-293"/>
    <n v="48000"/>
    <s v="AP-ELEC"/>
    <x v="0"/>
    <s v="Invoice"/>
    <s v="Funded"/>
    <s v="Low"/>
    <x v="0"/>
    <s v="10-Apr-24"/>
    <x v="57"/>
    <s v="-"/>
    <n v="7"/>
    <x v="0"/>
    <s v="Matched"/>
    <x v="0"/>
  </r>
  <r>
    <s v="INV-098"/>
    <x v="0"/>
    <x v="3"/>
    <d v="2024-04-08T00:00:00"/>
    <x v="3"/>
    <s v="PO-198"/>
    <s v="GRN-298"/>
    <n v="62000"/>
    <s v="AP-ELEC"/>
    <x v="0"/>
    <s v="Invoice"/>
    <s v="Funded"/>
    <s v="Normal"/>
    <x v="0"/>
    <s v="15-Apr-24"/>
    <x v="58"/>
    <s v="-"/>
    <n v="7"/>
    <x v="0"/>
    <s v="Matched"/>
    <x v="0"/>
  </r>
  <r>
    <s v="INV-103"/>
    <x v="0"/>
    <x v="0"/>
    <d v="2024-04-13T00:00:00"/>
    <x v="3"/>
    <s v="PO-203"/>
    <s v="GRN-303"/>
    <n v="44000"/>
    <s v="AP-ELEC"/>
    <x v="0"/>
    <s v="Invoice"/>
    <s v="Funded"/>
    <s v="Low"/>
    <x v="0"/>
    <s v="20-Apr-24"/>
    <x v="59"/>
    <s v="-"/>
    <n v="7"/>
    <x v="0"/>
    <s v="Matched"/>
    <x v="0"/>
  </r>
  <r>
    <s v="INV-108"/>
    <x v="0"/>
    <x v="1"/>
    <d v="2024-04-18T00:00:00"/>
    <x v="3"/>
    <s v="PO-208"/>
    <s v="GRN-308"/>
    <n v="55000"/>
    <s v="AP-ELEC"/>
    <x v="0"/>
    <s v="Invoice"/>
    <s v="Pending Funds"/>
    <s v="Normal"/>
    <x v="1"/>
    <s v="25-Apr-24"/>
    <x v="1"/>
    <s v="Funds not released"/>
    <s v="-"/>
    <x v="1"/>
    <s v="Matched"/>
    <x v="0"/>
  </r>
  <r>
    <s v="INV-113"/>
    <x v="0"/>
    <x v="2"/>
    <d v="2024-04-23T00:00:00"/>
    <x v="3"/>
    <s v="PO-213"/>
    <s v="GRN-313"/>
    <n v="47000"/>
    <s v="AP-ELEC"/>
    <x v="0"/>
    <s v="Invoice"/>
    <s v="Funded"/>
    <s v="Low"/>
    <x v="0"/>
    <s v="30-Apr-24"/>
    <x v="60"/>
    <s v="-"/>
    <n v="7"/>
    <x v="0"/>
    <s v="Matched"/>
    <x v="0"/>
  </r>
  <r>
    <s v="INV-118"/>
    <x v="0"/>
    <x v="3"/>
    <d v="2024-04-28T00:00:00"/>
    <x v="3"/>
    <s v="PO-218"/>
    <s v="GRN-318"/>
    <n v="64000"/>
    <s v="AP-ELEC"/>
    <x v="0"/>
    <s v="Invoice"/>
    <s v="Funded"/>
    <s v="Normal"/>
    <x v="0"/>
    <s v="05-May-24"/>
    <x v="61"/>
    <s v="-"/>
    <n v="7"/>
    <x v="0"/>
    <s v="Matched"/>
    <x v="0"/>
  </r>
  <r>
    <s v="INV-092"/>
    <x v="1"/>
    <x v="1"/>
    <d v="2024-04-02T00:00:00"/>
    <x v="3"/>
    <s v="PO-192"/>
    <s v="GRN-292"/>
    <n v="77000"/>
    <s v="AP-CIVIL"/>
    <x v="1"/>
    <s v="Invoice"/>
    <s v="Funded"/>
    <s v="Normal"/>
    <x v="0"/>
    <s v="09-Apr-24"/>
    <x v="62"/>
    <s v="-"/>
    <n v="7"/>
    <x v="0"/>
    <s v="Matched"/>
    <x v="0"/>
  </r>
  <r>
    <s v="INV-097"/>
    <x v="1"/>
    <x v="2"/>
    <d v="2024-04-07T00:00:00"/>
    <x v="3"/>
    <s v="PO-197"/>
    <s v="GRN-297"/>
    <n v="94000"/>
    <s v="AP-CIVIL"/>
    <x v="1"/>
    <s v="Invoice"/>
    <s v="Funded"/>
    <s v="Normal"/>
    <x v="0"/>
    <s v="14-Apr-24"/>
    <x v="63"/>
    <s v="-"/>
    <n v="7"/>
    <x v="0"/>
    <s v="Matched"/>
    <x v="0"/>
  </r>
  <r>
    <s v="INV-102"/>
    <x v="1"/>
    <x v="3"/>
    <d v="2024-04-12T00:00:00"/>
    <x v="3"/>
    <s v="PO-202"/>
    <s v="GRN-302"/>
    <n v="89000"/>
    <s v="AP-CIVIL"/>
    <x v="1"/>
    <s v="Invoice"/>
    <s v="Funded"/>
    <s v="Normal"/>
    <x v="0"/>
    <s v="19-Apr-24"/>
    <x v="64"/>
    <s v="Late payment"/>
    <n v="10"/>
    <x v="2"/>
    <s v="Matched"/>
    <x v="0"/>
  </r>
  <r>
    <s v="INV-107"/>
    <x v="1"/>
    <x v="0"/>
    <d v="2024-04-17T00:00:00"/>
    <x v="3"/>
    <s v="PO-207"/>
    <s v="GRN-307"/>
    <n v="67000"/>
    <s v="AP-CIVIL"/>
    <x v="1"/>
    <s v="Invoice"/>
    <s v="Funded"/>
    <s v="Normal"/>
    <x v="2"/>
    <s v="24-Apr-24"/>
    <x v="1"/>
    <s v="Awaiting approver"/>
    <s v="-"/>
    <x v="1"/>
    <s v="Matched"/>
    <x v="0"/>
  </r>
  <r>
    <s v="INV-112"/>
    <x v="1"/>
    <x v="1"/>
    <d v="2024-04-22T00:00:00"/>
    <x v="3"/>
    <s v="PO-212"/>
    <s v="GRN-312"/>
    <n v="84000"/>
    <s v="AP-CIVIL"/>
    <x v="1"/>
    <s v="Invoice"/>
    <s v="Funded"/>
    <s v="Normal"/>
    <x v="0"/>
    <s v="29-Apr-24"/>
    <x v="65"/>
    <s v="-"/>
    <n v="7"/>
    <x v="0"/>
    <s v="Matched"/>
    <x v="0"/>
  </r>
  <r>
    <s v="INV-117"/>
    <x v="1"/>
    <x v="2"/>
    <d v="2024-04-27T00:00:00"/>
    <x v="3"/>
    <s v="PO-217"/>
    <s v="GRN-317"/>
    <n v="99000"/>
    <s v="AP-CIVIL"/>
    <x v="1"/>
    <s v="Invoice"/>
    <s v="Funded"/>
    <s v="Normal"/>
    <x v="0"/>
    <s v="04-May-24"/>
    <x v="66"/>
    <s v="-"/>
    <n v="7"/>
    <x v="0"/>
    <s v="Matched"/>
    <x v="0"/>
  </r>
  <r>
    <s v="INV-091"/>
    <x v="2"/>
    <x v="0"/>
    <d v="2024-04-01T00:00:00"/>
    <x v="3"/>
    <s v="PO-191"/>
    <s v="GRN-291"/>
    <n v="65000"/>
    <s v="AP-SUPPLY"/>
    <x v="2"/>
    <s v="Invoice"/>
    <s v="Funded"/>
    <s v="Normal"/>
    <x v="0"/>
    <s v="08-Apr-24"/>
    <x v="67"/>
    <s v="-"/>
    <n v="7"/>
    <x v="0"/>
    <s v="Matched"/>
    <x v="0"/>
  </r>
  <r>
    <s v="INV-096"/>
    <x v="2"/>
    <x v="1"/>
    <d v="2024-04-06T00:00:00"/>
    <x v="3"/>
    <s v="PO-196"/>
    <s v="GRN-296"/>
    <n v="37000"/>
    <s v="AP-SUPPLY"/>
    <x v="2"/>
    <s v="Invoice"/>
    <s v="Funded"/>
    <s v="Low"/>
    <x v="0"/>
    <s v="13-Apr-24"/>
    <x v="68"/>
    <s v="-"/>
    <n v="7"/>
    <x v="0"/>
    <s v="Matched"/>
    <x v="0"/>
  </r>
  <r>
    <s v="INV-101"/>
    <x v="2"/>
    <x v="2"/>
    <d v="2024-04-11T00:00:00"/>
    <x v="3"/>
    <s v="PO-201"/>
    <s v="GRN-301"/>
    <n v="53000"/>
    <s v="AP-SUPPLY"/>
    <x v="2"/>
    <s v="Invoice"/>
    <s v="Funded"/>
    <s v="Normal"/>
    <x v="0"/>
    <s v="18-Apr-24"/>
    <x v="69"/>
    <s v="-"/>
    <n v="7"/>
    <x v="0"/>
    <s v="Matched"/>
    <x v="0"/>
  </r>
  <r>
    <s v="INV-106"/>
    <x v="2"/>
    <x v="3"/>
    <d v="2024-04-16T00:00:00"/>
    <x v="3"/>
    <s v="PO-206"/>
    <s v="GRN-306"/>
    <n v="41000"/>
    <s v="AP-SUPPLY"/>
    <x v="2"/>
    <s v="Invoice"/>
    <s v="Funded"/>
    <s v="Low"/>
    <x v="0"/>
    <s v="23-Apr-24"/>
    <x v="70"/>
    <s v="-"/>
    <n v="7"/>
    <x v="0"/>
    <s v="Matched"/>
    <x v="0"/>
  </r>
  <r>
    <s v="INV-111"/>
    <x v="2"/>
    <x v="0"/>
    <d v="2024-04-21T00:00:00"/>
    <x v="3"/>
    <s v="PO-211"/>
    <s v="GRN-311"/>
    <n v="58000"/>
    <s v="AP-SUPPLY"/>
    <x v="2"/>
    <s v="Invoice"/>
    <s v="Funded"/>
    <s v="Normal"/>
    <x v="0"/>
    <s v="28-Apr-24"/>
    <x v="71"/>
    <s v="-"/>
    <n v="7"/>
    <x v="0"/>
    <s v="Matched"/>
    <x v="0"/>
  </r>
  <r>
    <s v="INV-116"/>
    <x v="2"/>
    <x v="1"/>
    <d v="2024-04-26T00:00:00"/>
    <x v="3"/>
    <s v="PO-216"/>
    <s v="GRN-316"/>
    <n v="33000"/>
    <s v="AP-SUPPLY"/>
    <x v="2"/>
    <s v="Invoice"/>
    <s v="Funded"/>
    <s v="Low"/>
    <x v="0"/>
    <s v="03-May-24"/>
    <x v="72"/>
    <s v="-"/>
    <n v="7"/>
    <x v="0"/>
    <s v="Matched"/>
    <x v="0"/>
  </r>
  <r>
    <s v="INV-095"/>
    <x v="3"/>
    <x v="0"/>
    <d v="2024-04-05T00:00:00"/>
    <x v="3"/>
    <s v="PO-195"/>
    <s v="GRN-295"/>
    <n v="159000"/>
    <s v="AP-UTIL"/>
    <x v="3"/>
    <s v="Invoice"/>
    <s v="Funded"/>
    <s v="Normal"/>
    <x v="0"/>
    <s v="12-Apr-24"/>
    <x v="73"/>
    <s v="-"/>
    <n v="7"/>
    <x v="0"/>
    <s v="Matched"/>
    <x v="0"/>
  </r>
  <r>
    <s v="INV-100"/>
    <x v="3"/>
    <x v="1"/>
    <d v="2024-04-10T00:00:00"/>
    <x v="3"/>
    <s v="PO-200"/>
    <s v="GRN-300"/>
    <n v="147000"/>
    <s v="AP-UTIL"/>
    <x v="3"/>
    <s v="Invoice"/>
    <s v="Funded"/>
    <s v="Normal"/>
    <x v="0"/>
    <s v="17-Apr-24"/>
    <x v="74"/>
    <s v="-"/>
    <n v="7"/>
    <x v="0"/>
    <s v="Matched"/>
    <x v="0"/>
  </r>
  <r>
    <s v="INV-105"/>
    <x v="3"/>
    <x v="2"/>
    <d v="2024-04-15T00:00:00"/>
    <x v="3"/>
    <s v="PO-205"/>
    <s v="GRN-305"/>
    <n v="182000"/>
    <s v="AP-UTIL"/>
    <x v="3"/>
    <s v="Invoice"/>
    <s v="Funded"/>
    <s v="Urgent"/>
    <x v="0"/>
    <s v="22-Apr-24"/>
    <x v="64"/>
    <s v="-"/>
    <n v="7"/>
    <x v="0"/>
    <s v="Matched"/>
    <x v="0"/>
  </r>
  <r>
    <s v="INV-110"/>
    <x v="3"/>
    <x v="3"/>
    <d v="2024-04-20T00:00:00"/>
    <x v="3"/>
    <s v="PO-210"/>
    <s v="GRN-310"/>
    <n v="136000"/>
    <s v="AP-UTIL"/>
    <x v="3"/>
    <s v="Invoice"/>
    <s v="Funded"/>
    <s v="Normal"/>
    <x v="0"/>
    <s v="27-Apr-24"/>
    <x v="75"/>
    <s v="-"/>
    <n v="7"/>
    <x v="0"/>
    <s v="Matched"/>
    <x v="0"/>
  </r>
  <r>
    <s v="INV-115"/>
    <x v="3"/>
    <x v="0"/>
    <d v="2024-04-25T00:00:00"/>
    <x v="3"/>
    <s v="PO-215"/>
    <s v="GRN-315"/>
    <n v="161000"/>
    <s v="AP-UTIL"/>
    <x v="3"/>
    <s v="Invoice"/>
    <s v="Funded"/>
    <s v="Normal"/>
    <x v="0"/>
    <s v="02-May-24"/>
    <x v="76"/>
    <s v="-"/>
    <n v="7"/>
    <x v="0"/>
    <s v="Matched"/>
    <x v="0"/>
  </r>
  <r>
    <s v="INV-120"/>
    <x v="3"/>
    <x v="1"/>
    <d v="2024-04-30T00:00:00"/>
    <x v="3"/>
    <s v="PO-220"/>
    <s v="GRN-320"/>
    <n v="145000"/>
    <s v="AP-UTIL"/>
    <x v="3"/>
    <s v="Invoice"/>
    <s v="Funded"/>
    <s v="Normal"/>
    <x v="0"/>
    <s v="07-May-24"/>
    <x v="77"/>
    <s v="-"/>
    <n v="7"/>
    <x v="0"/>
    <s v="Matched"/>
    <x v="0"/>
  </r>
  <r>
    <s v="INV-094"/>
    <x v="4"/>
    <x v="3"/>
    <d v="2024-04-04T00:00:00"/>
    <x v="3"/>
    <s v="PO-194"/>
    <s v="GRN-294"/>
    <n v="81000"/>
    <s v="AP-MAINT"/>
    <x v="4"/>
    <s v="Invoice"/>
    <s v="Funded"/>
    <s v="Urgent"/>
    <x v="0"/>
    <s v="11-Apr-24"/>
    <x v="57"/>
    <s v="-"/>
    <n v="6"/>
    <x v="0"/>
    <s v="Matched"/>
    <x v="0"/>
  </r>
  <r>
    <s v="INV-099"/>
    <x v="4"/>
    <x v="0"/>
    <d v="2024-04-09T00:00:00"/>
    <x v="3"/>
    <s v="PO-199"/>
    <s v="GRN-299"/>
    <n v="105000"/>
    <s v="AP-MAINT"/>
    <x v="4"/>
    <s v="Invoice"/>
    <s v="Funded"/>
    <s v="Urgent"/>
    <x v="0"/>
    <s v="16-Apr-24"/>
    <x v="58"/>
    <s v="-"/>
    <n v="6"/>
    <x v="0"/>
    <s v="Matched"/>
    <x v="0"/>
  </r>
  <r>
    <s v="INV-104"/>
    <x v="4"/>
    <x v="1"/>
    <d v="2024-04-14T00:00:00"/>
    <x v="3"/>
    <s v="PO-204"/>
    <s v="GRN-304"/>
    <n v="76000"/>
    <s v="AP-MAINT"/>
    <x v="4"/>
    <s v="Invoice"/>
    <s v="Funded"/>
    <s v="Normal"/>
    <x v="0"/>
    <s v="21-Apr-24"/>
    <x v="78"/>
    <s v="-"/>
    <n v="7"/>
    <x v="0"/>
    <s v="Matched"/>
    <x v="0"/>
  </r>
  <r>
    <s v="INV-109"/>
    <x v="4"/>
    <x v="2"/>
    <d v="2024-04-19T00:00:00"/>
    <x v="3"/>
    <s v="PO-209"/>
    <s v="GRN-309"/>
    <n v="92000"/>
    <s v="AP-MAINT"/>
    <x v="4"/>
    <s v="Invoice"/>
    <s v="Funded"/>
    <s v="Urgent"/>
    <x v="0"/>
    <s v="26-Apr-24"/>
    <x v="79"/>
    <s v="-"/>
    <n v="6"/>
    <x v="0"/>
    <s v="Matched"/>
    <x v="0"/>
  </r>
  <r>
    <s v="INV-114"/>
    <x v="4"/>
    <x v="3"/>
    <d v="2024-04-24T00:00:00"/>
    <x v="3"/>
    <s v="PO-214"/>
    <s v="GRN-314"/>
    <n v="73000"/>
    <s v="AP-MAINT"/>
    <x v="4"/>
    <s v="Invoice"/>
    <s v="Funded"/>
    <s v="Urgent"/>
    <x v="0"/>
    <s v="01-May-24"/>
    <x v="60"/>
    <s v="-"/>
    <n v="6"/>
    <x v="0"/>
    <s v="Matched"/>
    <x v="0"/>
  </r>
  <r>
    <s v="INV-119"/>
    <x v="4"/>
    <x v="0"/>
    <d v="2024-04-29T00:00:00"/>
    <x v="3"/>
    <s v="PO-219"/>
    <s v="GRN-319"/>
    <n v="88000"/>
    <s v="AP-MAINT"/>
    <x v="4"/>
    <s v="Invoice"/>
    <s v="Funded"/>
    <s v="Urgent"/>
    <x v="0"/>
    <s v="06-May-24"/>
    <x v="61"/>
    <s v="-"/>
    <n v="6"/>
    <x v="0"/>
    <s v="Matched"/>
    <x v="0"/>
  </r>
  <r>
    <s v="INV-123"/>
    <x v="0"/>
    <x v="0"/>
    <d v="2024-05-03T00:00:00"/>
    <x v="4"/>
    <s v="PO-223"/>
    <s v="GRN-323"/>
    <n v="-18000"/>
    <s v="AP-ELEC"/>
    <x v="0"/>
    <s v="Credit Note"/>
    <s v="Funded"/>
    <s v="Low"/>
    <x v="0"/>
    <s v="10-May-24"/>
    <x v="80"/>
    <s v="Credit note issued"/>
    <n v="7"/>
    <x v="0"/>
    <s v="Matched"/>
    <x v="0"/>
  </r>
  <r>
    <s v="INV-128"/>
    <x v="0"/>
    <x v="1"/>
    <d v="2024-05-08T00:00:00"/>
    <x v="4"/>
    <s v="PO-228"/>
    <s v="GRN-328"/>
    <n v="52000"/>
    <s v="AP-ELEC"/>
    <x v="0"/>
    <s v="Invoice"/>
    <s v="Funded"/>
    <s v="Low"/>
    <x v="0"/>
    <s v="15-May-24"/>
    <x v="81"/>
    <s v="-"/>
    <n v="7"/>
    <x v="0"/>
    <s v="Matched"/>
    <x v="0"/>
  </r>
  <r>
    <s v="INV-133"/>
    <x v="0"/>
    <x v="2"/>
    <d v="2024-05-13T00:00:00"/>
    <x v="4"/>
    <s v="PO-233"/>
    <s v="GRN-333"/>
    <n v="59000"/>
    <s v="AP-ELEC"/>
    <x v="0"/>
    <s v="Invoice"/>
    <s v="Funded"/>
    <s v="Low"/>
    <x v="0"/>
    <s v="20-May-24"/>
    <x v="82"/>
    <s v="-"/>
    <n v="7"/>
    <x v="0"/>
    <s v="Matched"/>
    <x v="0"/>
  </r>
  <r>
    <s v="INV-138"/>
    <x v="0"/>
    <x v="3"/>
    <d v="2024-05-18T00:00:00"/>
    <x v="4"/>
    <s v="PO-238"/>
    <s v="GRN-338"/>
    <n v="67000"/>
    <s v="AP-ELEC"/>
    <x v="0"/>
    <s v="Invoice"/>
    <s v="Funded"/>
    <s v="Normal"/>
    <x v="0"/>
    <s v="25-May-24"/>
    <x v="83"/>
    <s v="-"/>
    <n v="7"/>
    <x v="0"/>
    <s v="Matched"/>
    <x v="0"/>
  </r>
  <r>
    <s v="INV-143"/>
    <x v="0"/>
    <x v="0"/>
    <d v="2024-05-23T00:00:00"/>
    <x v="4"/>
    <s v="PO-243"/>
    <s v="GRN-343"/>
    <n v="55000"/>
    <s v="AP-ELEC"/>
    <x v="0"/>
    <s v="Invoice"/>
    <s v="Funded"/>
    <s v="Low"/>
    <x v="0"/>
    <s v="30-May-24"/>
    <x v="84"/>
    <s v="-"/>
    <n v="7"/>
    <x v="0"/>
    <s v="Matched"/>
    <x v="0"/>
  </r>
  <r>
    <s v="INV-148"/>
    <x v="0"/>
    <x v="1"/>
    <d v="2024-05-28T00:00:00"/>
    <x v="4"/>
    <s v="PO-248"/>
    <s v="GRN-348"/>
    <n v="71000"/>
    <s v="AP-ELEC"/>
    <x v="0"/>
    <s v="Invoice"/>
    <s v="Funded"/>
    <s v="Normal"/>
    <x v="0"/>
    <s v="04-Jun-24"/>
    <x v="85"/>
    <s v="Late payment"/>
    <n v="9"/>
    <x v="2"/>
    <s v="Matched"/>
    <x v="0"/>
  </r>
  <r>
    <s v="INV-122"/>
    <x v="1"/>
    <x v="3"/>
    <d v="2024-05-02T00:00:00"/>
    <x v="4"/>
    <s v="PO-222"/>
    <s v="GRN-322"/>
    <n v="-22000"/>
    <s v="AP-CIVIL"/>
    <x v="1"/>
    <s v="Credit Note"/>
    <s v="Funded"/>
    <s v="Normal"/>
    <x v="0"/>
    <s v="09-May-24"/>
    <x v="86"/>
    <s v="Credit note issued"/>
    <n v="7"/>
    <x v="0"/>
    <s v="Matched"/>
    <x v="0"/>
  </r>
  <r>
    <s v="INV-127"/>
    <x v="1"/>
    <x v="0"/>
    <d v="2024-05-07T00:00:00"/>
    <x v="4"/>
    <s v="PO-227"/>
    <s v="GRN-327"/>
    <n v="97000"/>
    <s v="AP-CIVIL"/>
    <x v="1"/>
    <s v="Invoice"/>
    <s v="Funded"/>
    <s v="Normal"/>
    <x v="0"/>
    <s v="14-May-24"/>
    <x v="87"/>
    <s v="-"/>
    <n v="7"/>
    <x v="0"/>
    <s v="Matched"/>
    <x v="0"/>
  </r>
  <r>
    <s v="INV-132"/>
    <x v="1"/>
    <x v="1"/>
    <d v="2024-05-12T00:00:00"/>
    <x v="4"/>
    <s v="PO-232"/>
    <s v="GRN-332"/>
    <n v="78000"/>
    <s v="AP-CIVIL"/>
    <x v="1"/>
    <s v="Invoice"/>
    <s v="Pending Funds"/>
    <s v="Normal"/>
    <x v="1"/>
    <s v="19-May-24"/>
    <x v="1"/>
    <s v="Funds not released"/>
    <s v="-"/>
    <x v="1"/>
    <s v="Matched"/>
    <x v="0"/>
  </r>
  <r>
    <s v="INV-137"/>
    <x v="1"/>
    <x v="2"/>
    <d v="2024-05-17T00:00:00"/>
    <x v="4"/>
    <s v="PO-237"/>
    <s v="GRN-337"/>
    <n v="111000"/>
    <s v="AP-CIVIL"/>
    <x v="1"/>
    <s v="Invoice"/>
    <s v="Funded"/>
    <s v="Normal"/>
    <x v="0"/>
    <s v="24-May-24"/>
    <x v="88"/>
    <s v="-"/>
    <n v="7"/>
    <x v="0"/>
    <s v="Matched"/>
    <x v="0"/>
  </r>
  <r>
    <s v="INV-142"/>
    <x v="1"/>
    <x v="3"/>
    <d v="2024-05-22T00:00:00"/>
    <x v="4"/>
    <s v="PO-242"/>
    <s v="GRN-342"/>
    <n v="-28000"/>
    <s v="AP-CIVIL"/>
    <x v="1"/>
    <s v="Credit Note"/>
    <s v="Funded"/>
    <s v="Normal"/>
    <x v="0"/>
    <s v="29-May-24"/>
    <x v="89"/>
    <s v="Credit note issued"/>
    <n v="7"/>
    <x v="0"/>
    <s v="Matched"/>
    <x v="0"/>
  </r>
  <r>
    <s v="INV-147"/>
    <x v="1"/>
    <x v="0"/>
    <d v="2024-05-27T00:00:00"/>
    <x v="4"/>
    <s v="PO-247"/>
    <s v="GRN-347"/>
    <n v="88000"/>
    <s v="AP-CIVIL"/>
    <x v="1"/>
    <s v="Invoice"/>
    <s v="Funded"/>
    <s v="Normal"/>
    <x v="0"/>
    <s v="03-Jun-24"/>
    <x v="90"/>
    <s v="-"/>
    <n v="7"/>
    <x v="0"/>
    <s v="Matched"/>
    <x v="0"/>
  </r>
  <r>
    <s v="INV-121"/>
    <x v="2"/>
    <x v="2"/>
    <d v="2024-05-01T00:00:00"/>
    <x v="4"/>
    <s v="PO-221"/>
    <s v="GRN-321"/>
    <n v="-15000"/>
    <s v="AP-SUPPLY"/>
    <x v="2"/>
    <s v="Credit Note"/>
    <s v="Funded"/>
    <s v="Normal"/>
    <x v="0"/>
    <s v="08-May-24"/>
    <x v="91"/>
    <s v="Credit note issued"/>
    <n v="7"/>
    <x v="0"/>
    <s v="Matched"/>
    <x v="0"/>
  </r>
  <r>
    <s v="INV-126"/>
    <x v="2"/>
    <x v="3"/>
    <d v="2024-05-06T00:00:00"/>
    <x v="4"/>
    <s v="PO-226"/>
    <s v="GRN-326"/>
    <n v="61000"/>
    <s v="AP-SUPPLY"/>
    <x v="2"/>
    <s v="Invoice"/>
    <s v="Funded"/>
    <s v="Normal"/>
    <x v="0"/>
    <s v="13-May-24"/>
    <x v="92"/>
    <s v="-"/>
    <n v="7"/>
    <x v="0"/>
    <s v="Matched"/>
    <x v="0"/>
  </r>
  <r>
    <s v="INV-131"/>
    <x v="2"/>
    <x v="0"/>
    <d v="2024-05-11T00:00:00"/>
    <x v="4"/>
    <s v="PO-231"/>
    <s v="GRN-331"/>
    <n v="44000"/>
    <s v="AP-SUPPLY"/>
    <x v="2"/>
    <s v="Invoice"/>
    <s v="Funded"/>
    <s v="Normal"/>
    <x v="2"/>
    <s v="18-May-24"/>
    <x v="1"/>
    <s v="Awaiting approver"/>
    <s v="-"/>
    <x v="1"/>
    <s v="Matched"/>
    <x v="0"/>
  </r>
  <r>
    <s v="INV-136"/>
    <x v="2"/>
    <x v="1"/>
    <d v="2024-05-16T00:00:00"/>
    <x v="4"/>
    <s v="PO-236"/>
    <s v="GRN-336"/>
    <n v="36000"/>
    <s v="AP-SUPPLY"/>
    <x v="2"/>
    <s v="Invoice"/>
    <s v="Funded"/>
    <s v="Low"/>
    <x v="0"/>
    <s v="23-May-24"/>
    <x v="93"/>
    <s v="-"/>
    <n v="7"/>
    <x v="0"/>
    <s v="Matched"/>
    <x v="0"/>
  </r>
  <r>
    <s v="INV-141"/>
    <x v="2"/>
    <x v="2"/>
    <d v="2024-05-21T00:00:00"/>
    <x v="4"/>
    <s v="PO-241"/>
    <s v="GRN-341"/>
    <n v="-12000"/>
    <s v="AP-SUPPLY"/>
    <x v="2"/>
    <s v="Credit Note"/>
    <s v="Funded"/>
    <s v="Normal"/>
    <x v="0"/>
    <s v="28-May-24"/>
    <x v="94"/>
    <s v="Credit note issued"/>
    <n v="7"/>
    <x v="0"/>
    <s v="Matched"/>
    <x v="0"/>
  </r>
  <r>
    <s v="INV-146"/>
    <x v="2"/>
    <x v="3"/>
    <d v="2024-05-26T00:00:00"/>
    <x v="4"/>
    <s v="PO-246"/>
    <s v="GRN-346"/>
    <n v="43000"/>
    <s v="AP-SUPPLY"/>
    <x v="2"/>
    <s v="Invoice"/>
    <s v="Funded"/>
    <s v="Low"/>
    <x v="0"/>
    <s v="02-Jun-24"/>
    <x v="95"/>
    <s v="-"/>
    <n v="7"/>
    <x v="0"/>
    <s v="Matched"/>
    <x v="0"/>
  </r>
  <r>
    <s v="INV-125"/>
    <x v="3"/>
    <x v="2"/>
    <d v="2024-05-05T00:00:00"/>
    <x v="4"/>
    <s v="PO-225"/>
    <s v="GRN-325"/>
    <n v="-45000"/>
    <s v="AP-UTIL"/>
    <x v="3"/>
    <s v="Credit Note"/>
    <s v="Funded"/>
    <s v="Urgent"/>
    <x v="0"/>
    <s v="12-May-24"/>
    <x v="96"/>
    <s v="Credit note issued"/>
    <n v="7"/>
    <x v="0"/>
    <s v="Matched"/>
    <x v="0"/>
  </r>
  <r>
    <s v="INV-130"/>
    <x v="3"/>
    <x v="3"/>
    <d v="2024-05-10T00:00:00"/>
    <x v="4"/>
    <s v="PO-230"/>
    <s v="GRN-330"/>
    <n v="132000"/>
    <s v="AP-UTIL"/>
    <x v="3"/>
    <s v="Invoice"/>
    <s v="Funded"/>
    <s v="Normal"/>
    <x v="0"/>
    <s v="17-May-24"/>
    <x v="97"/>
    <s v="-"/>
    <n v="7"/>
    <x v="0"/>
    <s v="Matched"/>
    <x v="0"/>
  </r>
  <r>
    <s v="INV-135"/>
    <x v="3"/>
    <x v="0"/>
    <d v="2024-05-15T00:00:00"/>
    <x v="4"/>
    <s v="PO-235"/>
    <s v="GRN-335"/>
    <n v="173000"/>
    <s v="AP-UTIL"/>
    <x v="3"/>
    <s v="Invoice"/>
    <s v="Funded"/>
    <s v="Normal"/>
    <x v="0"/>
    <s v="22-May-24"/>
    <x v="98"/>
    <s v="-"/>
    <n v="7"/>
    <x v="0"/>
    <s v="Matched"/>
    <x v="0"/>
  </r>
  <r>
    <s v="INV-140"/>
    <x v="3"/>
    <x v="1"/>
    <d v="2024-05-20T00:00:00"/>
    <x v="4"/>
    <s v="PO-240"/>
    <s v="GRN-340"/>
    <n v="148000"/>
    <s v="AP-UTIL"/>
    <x v="3"/>
    <s v="Invoice"/>
    <s v="Funded"/>
    <s v="Normal"/>
    <x v="0"/>
    <s v="27-May-24"/>
    <x v="99"/>
    <s v="-"/>
    <n v="7"/>
    <x v="0"/>
    <s v="Matched"/>
    <x v="0"/>
  </r>
  <r>
    <s v="INV-145"/>
    <x v="3"/>
    <x v="2"/>
    <d v="2024-05-25T00:00:00"/>
    <x v="4"/>
    <s v="PO-245"/>
    <s v="GRN-345"/>
    <n v="196000"/>
    <s v="AP-UTIL"/>
    <x v="3"/>
    <s v="Invoice"/>
    <s v="Funded"/>
    <s v="Urgent"/>
    <x v="0"/>
    <s v="01-Jun-24"/>
    <x v="100"/>
    <s v="-"/>
    <n v="7"/>
    <x v="0"/>
    <s v="Matched"/>
    <x v="0"/>
  </r>
  <r>
    <s v="INV-150"/>
    <x v="3"/>
    <x v="3"/>
    <d v="2024-05-30T00:00:00"/>
    <x v="4"/>
    <s v="PO-250"/>
    <s v="GRN-350"/>
    <n v="139000"/>
    <s v="AP-UTIL"/>
    <x v="3"/>
    <s v="Invoice"/>
    <s v="Funded"/>
    <s v="Normal"/>
    <x v="0"/>
    <s v="06-Jun-24"/>
    <x v="85"/>
    <s v="-"/>
    <n v="7"/>
    <x v="0"/>
    <s v="Matched"/>
    <x v="0"/>
  </r>
  <r>
    <s v="INV-124"/>
    <x v="4"/>
    <x v="1"/>
    <d v="2024-05-04T00:00:00"/>
    <x v="4"/>
    <s v="PO-224"/>
    <s v="GRN-324"/>
    <n v="-31000"/>
    <s v="AP-MAINT"/>
    <x v="4"/>
    <s v="Credit Note"/>
    <s v="Funded"/>
    <s v="Normal"/>
    <x v="0"/>
    <s v="11-May-24"/>
    <x v="101"/>
    <s v="Credit note issued"/>
    <n v="7"/>
    <x v="0"/>
    <s v="Matched"/>
    <x v="0"/>
  </r>
  <r>
    <s v="INV-129"/>
    <x v="4"/>
    <x v="2"/>
    <d v="2024-05-09T00:00:00"/>
    <x v="4"/>
    <s v="PO-229"/>
    <s v="GRN-329"/>
    <n v="86000"/>
    <s v="AP-MAINT"/>
    <x v="4"/>
    <s v="Invoice"/>
    <s v="Funded"/>
    <s v="Urgent"/>
    <x v="0"/>
    <s v="16-May-24"/>
    <x v="81"/>
    <s v="-"/>
    <n v="6"/>
    <x v="0"/>
    <s v="Matched"/>
    <x v="0"/>
  </r>
  <r>
    <s v="INV-134"/>
    <x v="4"/>
    <x v="3"/>
    <d v="2024-05-14T00:00:00"/>
    <x v="4"/>
    <s v="PO-234"/>
    <s v="GRN-334"/>
    <n v="93000"/>
    <s v="AP-MAINT"/>
    <x v="4"/>
    <s v="Invoice"/>
    <s v="Funded"/>
    <s v="Urgent"/>
    <x v="0"/>
    <s v="21-May-24"/>
    <x v="82"/>
    <s v="-"/>
    <n v="6"/>
    <x v="0"/>
    <s v="Matched"/>
    <x v="0"/>
  </r>
  <r>
    <s v="INV-139"/>
    <x v="4"/>
    <x v="0"/>
    <d v="2024-05-19T00:00:00"/>
    <x v="4"/>
    <s v="PO-239"/>
    <s v="GRN-339"/>
    <n v="79000"/>
    <s v="AP-MAINT"/>
    <x v="4"/>
    <s v="Invoice"/>
    <s v="Funded"/>
    <s v="Urgent"/>
    <x v="0"/>
    <s v="26-May-24"/>
    <x v="83"/>
    <s v="-"/>
    <n v="6"/>
    <x v="0"/>
    <s v="Matched"/>
    <x v="0"/>
  </r>
  <r>
    <s v="INV-144"/>
    <x v="4"/>
    <x v="1"/>
    <d v="2024-05-24T00:00:00"/>
    <x v="4"/>
    <s v="PO-244"/>
    <s v="GRN-344"/>
    <n v="84000"/>
    <s v="AP-MAINT"/>
    <x v="4"/>
    <s v="Invoice"/>
    <s v="Funded"/>
    <s v="Normal"/>
    <x v="0"/>
    <s v="31-May-24"/>
    <x v="102"/>
    <s v="-"/>
    <n v="7"/>
    <x v="0"/>
    <s v="Matched"/>
    <x v="0"/>
  </r>
  <r>
    <s v="INV-149"/>
    <x v="4"/>
    <x v="2"/>
    <d v="2024-05-29T00:00:00"/>
    <x v="4"/>
    <s v="PO-249"/>
    <s v="GRN-349"/>
    <n v="97000"/>
    <s v="AP-MAINT"/>
    <x v="4"/>
    <s v="Invoice"/>
    <s v="Funded"/>
    <s v="Urgent"/>
    <x v="0"/>
    <s v="05-Jun-24"/>
    <x v="103"/>
    <s v="-"/>
    <n v="6"/>
    <x v="0"/>
    <s v="Matched"/>
    <x v="0"/>
  </r>
  <r>
    <s v="INV-163"/>
    <x v="0"/>
    <x v="2"/>
    <d v="2024-06-03T00:00:00"/>
    <x v="5"/>
    <s v="PO-263"/>
    <s v="GRN-363"/>
    <n v="48000"/>
    <s v="AP-ELEC"/>
    <x v="0"/>
    <s v="Invoice"/>
    <s v="Funded"/>
    <s v="Low"/>
    <x v="0"/>
    <s v="10-Jun-24"/>
    <x v="104"/>
    <s v="-"/>
    <n v="7"/>
    <x v="0"/>
    <s v="Matched"/>
    <x v="0"/>
  </r>
  <r>
    <s v="INV-168"/>
    <x v="0"/>
    <x v="3"/>
    <d v="2024-06-08T00:00:00"/>
    <x v="5"/>
    <s v="PO-268"/>
    <s v="GRN-368"/>
    <n v="63000"/>
    <s v="AP-ELEC"/>
    <x v="0"/>
    <s v="Invoice"/>
    <s v="Funded"/>
    <s v="Normal"/>
    <x v="0"/>
    <s v="15-Jun-24"/>
    <x v="105"/>
    <s v="-"/>
    <n v="7"/>
    <x v="0"/>
    <s v="Matched"/>
    <x v="0"/>
  </r>
  <r>
    <s v="INV-173"/>
    <x v="0"/>
    <x v="0"/>
    <d v="2024-06-13T00:00:00"/>
    <x v="5"/>
    <s v="PO-273"/>
    <s v="GRN-373"/>
    <n v="44000"/>
    <s v="AP-ELEC"/>
    <x v="0"/>
    <s v="Invoice"/>
    <s v="Funded"/>
    <s v="Low"/>
    <x v="0"/>
    <s v="20-Jun-24"/>
    <x v="106"/>
    <s v="-"/>
    <n v="7"/>
    <x v="0"/>
    <s v="Matched"/>
    <x v="0"/>
  </r>
  <r>
    <s v="INV-178"/>
    <x v="0"/>
    <x v="1"/>
    <d v="2024-06-18T00:00:00"/>
    <x v="5"/>
    <s v="PO-278"/>
    <s v="MISSING"/>
    <n v="58000"/>
    <s v="AP-ELEC"/>
    <x v="0"/>
    <s v="Invoice"/>
    <s v="Funded"/>
    <s v="Normal"/>
    <x v="1"/>
    <s v="25-Jun-24"/>
    <x v="1"/>
    <s v="GRN not received"/>
    <s v="-"/>
    <x v="1"/>
    <s v="Mismatched"/>
    <x v="0"/>
  </r>
  <r>
    <s v="INV-183"/>
    <x v="0"/>
    <x v="2"/>
    <d v="2024-06-23T00:00:00"/>
    <x v="5"/>
    <s v="PO-283"/>
    <s v="GRN-383"/>
    <n v="53000"/>
    <s v="AP-ELEC"/>
    <x v="0"/>
    <s v="Invoice"/>
    <s v="Funded"/>
    <s v="Low"/>
    <x v="0"/>
    <s v="30-Jun-24"/>
    <x v="107"/>
    <s v="-"/>
    <n v="7"/>
    <x v="0"/>
    <s v="Matched"/>
    <x v="0"/>
  </r>
  <r>
    <s v="INV-188"/>
    <x v="0"/>
    <x v="3"/>
    <d v="2024-06-28T00:00:00"/>
    <x v="5"/>
    <s v="PO-288"/>
    <s v="GRN-388"/>
    <n v="61000"/>
    <s v="AP-ELEC"/>
    <x v="0"/>
    <s v="Invoice"/>
    <s v="Funded"/>
    <s v="Normal"/>
    <x v="0"/>
    <s v="05-Jul-24"/>
    <x v="108"/>
    <s v="Late payment"/>
    <n v="9"/>
    <x v="2"/>
    <s v="Matched"/>
    <x v="0"/>
  </r>
  <r>
    <s v="INV-177"/>
    <x v="1"/>
    <x v="0"/>
    <d v="2024-06-17T00:00:00"/>
    <x v="5"/>
    <s v="MISSING"/>
    <s v="GRN-377"/>
    <n v="95000"/>
    <s v="AP-CIVIL"/>
    <x v="1"/>
    <s v="Invoice"/>
    <s v="Pending Funds"/>
    <s v="Normal"/>
    <x v="1"/>
    <s v="24-Jun-24"/>
    <x v="1"/>
    <s v="PO not found"/>
    <s v="-"/>
    <x v="1"/>
    <s v="Mismatched"/>
    <x v="0"/>
  </r>
  <r>
    <s v="INV-162"/>
    <x v="1"/>
    <x v="1"/>
    <d v="2024-06-02T00:00:00"/>
    <x v="5"/>
    <s v="PO-262"/>
    <s v="GRN-362"/>
    <n v="83000"/>
    <s v="AP-CIVIL"/>
    <x v="1"/>
    <s v="Invoice"/>
    <s v="Funded"/>
    <s v="Normal"/>
    <x v="0"/>
    <s v="09-Jun-24"/>
    <x v="109"/>
    <s v="-"/>
    <n v="7"/>
    <x v="0"/>
    <s v="Matched"/>
    <x v="0"/>
  </r>
  <r>
    <s v="INV-167"/>
    <x v="1"/>
    <x v="2"/>
    <d v="2024-06-07T00:00:00"/>
    <x v="5"/>
    <s v="PO-267"/>
    <s v="GRN-367"/>
    <n v="104000"/>
    <s v="AP-CIVIL"/>
    <x v="1"/>
    <s v="Invoice"/>
    <s v="Funded"/>
    <s v="Normal"/>
    <x v="0"/>
    <s v="14-Jun-24"/>
    <x v="110"/>
    <s v="-"/>
    <n v="7"/>
    <x v="0"/>
    <s v="Matched"/>
    <x v="0"/>
  </r>
  <r>
    <s v="INV-172"/>
    <x v="1"/>
    <x v="3"/>
    <d v="2024-06-12T00:00:00"/>
    <x v="5"/>
    <s v="PO-272"/>
    <s v="GRN-372"/>
    <n v="86000"/>
    <s v="AP-CIVIL"/>
    <x v="1"/>
    <s v="Invoice"/>
    <s v="Funded"/>
    <s v="Normal"/>
    <x v="0"/>
    <s v="19-Jun-24"/>
    <x v="111"/>
    <s v="-"/>
    <n v="7"/>
    <x v="0"/>
    <s v="Matched"/>
    <x v="0"/>
  </r>
  <r>
    <s v="INV-182"/>
    <x v="1"/>
    <x v="1"/>
    <d v="2024-06-22T00:00:00"/>
    <x v="5"/>
    <s v="PO-282"/>
    <s v="GRN-382"/>
    <n v="74000"/>
    <s v="AP-CIVIL"/>
    <x v="1"/>
    <s v="Invoice"/>
    <s v="Funded"/>
    <s v="Normal"/>
    <x v="0"/>
    <s v="29-Jun-24"/>
    <x v="112"/>
    <s v="-"/>
    <n v="7"/>
    <x v="0"/>
    <s v="Matched"/>
    <x v="0"/>
  </r>
  <r>
    <s v="INV-187"/>
    <x v="1"/>
    <x v="2"/>
    <d v="2024-06-27T00:00:00"/>
    <x v="5"/>
    <s v="PO-287"/>
    <s v="GRN-387"/>
    <n v="106000"/>
    <s v="AP-CIVIL"/>
    <x v="1"/>
    <s v="Invoice"/>
    <s v="Funded"/>
    <s v="Normal"/>
    <x v="0"/>
    <s v="04-Jul-24"/>
    <x v="113"/>
    <s v="-"/>
    <n v="7"/>
    <x v="0"/>
    <s v="Matched"/>
    <x v="0"/>
  </r>
  <r>
    <s v="INV-161"/>
    <x v="2"/>
    <x v="0"/>
    <d v="2024-06-01T00:00:00"/>
    <x v="5"/>
    <s v="PO-261"/>
    <s v="GRN-361"/>
    <n v="56000"/>
    <s v="AP-SUPPLY"/>
    <x v="2"/>
    <s v="Invoice"/>
    <s v="Funded"/>
    <s v="Normal"/>
    <x v="0"/>
    <s v="08-Jun-24"/>
    <x v="114"/>
    <s v="-"/>
    <n v="7"/>
    <x v="0"/>
    <s v="Matched"/>
    <x v="0"/>
  </r>
  <r>
    <s v="INV-166"/>
    <x v="2"/>
    <x v="1"/>
    <d v="2024-06-06T00:00:00"/>
    <x v="5"/>
    <s v="PO-266"/>
    <s v="GRN-366"/>
    <n v="39000"/>
    <s v="AP-SUPPLY"/>
    <x v="2"/>
    <s v="Invoice"/>
    <s v="Funded"/>
    <s v="Low"/>
    <x v="2"/>
    <s v="13-Jun-24"/>
    <x v="1"/>
    <s v="Awaiting approver"/>
    <s v="-"/>
    <x v="1"/>
    <s v="Matched"/>
    <x v="0"/>
  </r>
  <r>
    <s v="INV-171"/>
    <x v="2"/>
    <x v="2"/>
    <d v="2024-06-11T00:00:00"/>
    <x v="5"/>
    <s v="PO-271"/>
    <s v="GRN-371"/>
    <n v="57000"/>
    <s v="AP-SUPPLY"/>
    <x v="2"/>
    <s v="Invoice"/>
    <s v="Funded"/>
    <s v="Normal"/>
    <x v="0"/>
    <s v="18-Jun-24"/>
    <x v="115"/>
    <s v="-"/>
    <n v="7"/>
    <x v="0"/>
    <s v="Matched"/>
    <x v="0"/>
  </r>
  <r>
    <s v="INV-176"/>
    <x v="2"/>
    <x v="3"/>
    <d v="2024-06-16T00:00:00"/>
    <x v="5"/>
    <s v="PO-276"/>
    <s v="GRN-376"/>
    <n v="32000"/>
    <s v="AP-SUPPLY"/>
    <x v="2"/>
    <s v="Invoice"/>
    <s v="Funded"/>
    <s v="Low"/>
    <x v="0"/>
    <s v="23-Jun-24"/>
    <x v="116"/>
    <s v="-"/>
    <n v="7"/>
    <x v="0"/>
    <s v="Matched"/>
    <x v="0"/>
  </r>
  <r>
    <s v="INV-181"/>
    <x v="2"/>
    <x v="0"/>
    <d v="2024-06-21T00:00:00"/>
    <x v="5"/>
    <s v="PO-281"/>
    <s v="GRN-381"/>
    <n v="49000"/>
    <s v="AP-SUPPLY"/>
    <x v="2"/>
    <s v="Invoice"/>
    <s v="Funded"/>
    <s v="Normal"/>
    <x v="0"/>
    <s v="28-Jun-24"/>
    <x v="117"/>
    <s v="-"/>
    <n v="7"/>
    <x v="0"/>
    <s v="Matched"/>
    <x v="0"/>
  </r>
  <r>
    <s v="INV-186"/>
    <x v="2"/>
    <x v="1"/>
    <d v="2024-06-26T00:00:00"/>
    <x v="5"/>
    <s v="PO-286"/>
    <s v="GRN-386"/>
    <n v="-19000"/>
    <s v="AP-SUPPLY"/>
    <x v="2"/>
    <s v="Credit Note"/>
    <s v="Funded"/>
    <s v="Normal"/>
    <x v="0"/>
    <s v="03-Jul-24"/>
    <x v="118"/>
    <s v="Credit note issued"/>
    <n v="7"/>
    <x v="0"/>
    <s v="Matched"/>
    <x v="0"/>
  </r>
  <r>
    <s v="INV-165"/>
    <x v="3"/>
    <x v="0"/>
    <d v="2024-06-05T00:00:00"/>
    <x v="5"/>
    <s v="PO-265"/>
    <s v="GRN-365"/>
    <n v="152000"/>
    <s v="AP-UTIL"/>
    <x v="3"/>
    <s v="Invoice"/>
    <s v="Funded"/>
    <s v="Normal"/>
    <x v="0"/>
    <s v="12-Jun-24"/>
    <x v="119"/>
    <s v="-"/>
    <n v="7"/>
    <x v="0"/>
    <s v="Matched"/>
    <x v="0"/>
  </r>
  <r>
    <s v="INV-170"/>
    <x v="3"/>
    <x v="1"/>
    <d v="2024-06-10T00:00:00"/>
    <x v="5"/>
    <s v="PO-270"/>
    <s v="GRN-370"/>
    <n v="144000"/>
    <s v="AP-UTIL"/>
    <x v="3"/>
    <s v="Invoice"/>
    <s v="Funded"/>
    <s v="Normal"/>
    <x v="0"/>
    <s v="17-Jun-24"/>
    <x v="120"/>
    <s v="-"/>
    <n v="7"/>
    <x v="0"/>
    <s v="Matched"/>
    <x v="0"/>
  </r>
  <r>
    <s v="INV-175"/>
    <x v="3"/>
    <x v="2"/>
    <d v="2024-06-15T00:00:00"/>
    <x v="5"/>
    <s v="PO-275"/>
    <s v="GRN-375"/>
    <n v="178000"/>
    <s v="AP-UTIL"/>
    <x v="3"/>
    <s v="Invoice"/>
    <s v="Funded"/>
    <s v="Urgent"/>
    <x v="0"/>
    <s v="22-Jun-24"/>
    <x v="121"/>
    <s v="-"/>
    <n v="7"/>
    <x v="0"/>
    <s v="Matched"/>
    <x v="0"/>
  </r>
  <r>
    <s v="INV-180"/>
    <x v="3"/>
    <x v="3"/>
    <d v="2024-06-20T00:00:00"/>
    <x v="5"/>
    <s v="PO-280"/>
    <s v="GRN-380"/>
    <n v="131000"/>
    <s v="AP-UTIL"/>
    <x v="3"/>
    <s v="Invoice"/>
    <s v="Funded"/>
    <s v="Normal"/>
    <x v="0"/>
    <s v="27-Jun-24"/>
    <x v="122"/>
    <s v="-"/>
    <n v="7"/>
    <x v="0"/>
    <s v="Matched"/>
    <x v="0"/>
  </r>
  <r>
    <s v="INV-185"/>
    <x v="3"/>
    <x v="0"/>
    <d v="2024-06-25T00:00:00"/>
    <x v="5"/>
    <s v="PO-285"/>
    <s v="GRN-385"/>
    <n v="157000"/>
    <s v="AP-UTIL"/>
    <x v="3"/>
    <s v="Invoice"/>
    <s v="Funded"/>
    <s v="Normal"/>
    <x v="0"/>
    <s v="02-Jul-24"/>
    <x v="123"/>
    <s v="-"/>
    <n v="7"/>
    <x v="0"/>
    <s v="Matched"/>
    <x v="0"/>
  </r>
  <r>
    <s v="INV-190"/>
    <x v="3"/>
    <x v="1"/>
    <d v="2024-06-30T00:00:00"/>
    <x v="5"/>
    <s v="PO-290"/>
    <s v="GRN-390"/>
    <n v="142000"/>
    <s v="AP-UTIL"/>
    <x v="3"/>
    <s v="Invoice"/>
    <s v="Funded"/>
    <s v="Normal"/>
    <x v="0"/>
    <s v="07-Jul-24"/>
    <x v="108"/>
    <s v="-"/>
    <n v="7"/>
    <x v="0"/>
    <s v="Matched"/>
    <x v="0"/>
  </r>
  <r>
    <s v="INV-164"/>
    <x v="4"/>
    <x v="3"/>
    <d v="2024-06-04T00:00:00"/>
    <x v="5"/>
    <s v="PO-264"/>
    <s v="GRN-364"/>
    <n v="77000"/>
    <s v="AP-MAINT"/>
    <x v="4"/>
    <s v="Invoice"/>
    <s v="Funded"/>
    <s v="Urgent"/>
    <x v="0"/>
    <s v="11-Jun-24"/>
    <x v="104"/>
    <s v="-"/>
    <n v="6"/>
    <x v="0"/>
    <s v="Matched"/>
    <x v="0"/>
  </r>
  <r>
    <s v="INV-169"/>
    <x v="4"/>
    <x v="0"/>
    <d v="2024-06-09T00:00:00"/>
    <x v="5"/>
    <s v="PO-269"/>
    <s v="GRN-369"/>
    <n v="91000"/>
    <s v="AP-MAINT"/>
    <x v="4"/>
    <s v="Invoice"/>
    <s v="Funded"/>
    <s v="Urgent"/>
    <x v="0"/>
    <s v="16-Jun-24"/>
    <x v="105"/>
    <s v="-"/>
    <n v="6"/>
    <x v="0"/>
    <s v="Matched"/>
    <x v="0"/>
  </r>
  <r>
    <s v="INV-174"/>
    <x v="4"/>
    <x v="1"/>
    <d v="2024-06-14T00:00:00"/>
    <x v="5"/>
    <s v="PO-274"/>
    <s v="GRN-374"/>
    <n v="69000"/>
    <s v="AP-MAINT"/>
    <x v="4"/>
    <s v="Invoice"/>
    <s v="Funded"/>
    <s v="Normal"/>
    <x v="0"/>
    <s v="21-Jun-24"/>
    <x v="124"/>
    <s v="-"/>
    <n v="7"/>
    <x v="0"/>
    <s v="Matched"/>
    <x v="0"/>
  </r>
  <r>
    <s v="INV-179"/>
    <x v="4"/>
    <x v="2"/>
    <d v="2024-06-19T00:00:00"/>
    <x v="5"/>
    <s v="PO-279"/>
    <s v="GRN-379"/>
    <n v="82000"/>
    <s v="AP-MAINT"/>
    <x v="4"/>
    <s v="Invoice"/>
    <s v="Funded"/>
    <s v="Urgent"/>
    <x v="0"/>
    <s v="26-Jun-24"/>
    <x v="125"/>
    <s v="-"/>
    <n v="6"/>
    <x v="0"/>
    <s v="Matched"/>
    <x v="0"/>
  </r>
  <r>
    <s v="INV-184"/>
    <x v="4"/>
    <x v="3"/>
    <d v="2024-06-24T00:00:00"/>
    <x v="5"/>
    <s v="PO-284"/>
    <s v="GRN-384"/>
    <n v="88000"/>
    <s v="AP-MAINT"/>
    <x v="4"/>
    <s v="Invoice"/>
    <s v="Funded"/>
    <s v="Urgent"/>
    <x v="0"/>
    <s v="01-Jul-24"/>
    <x v="107"/>
    <s v="-"/>
    <n v="6"/>
    <x v="0"/>
    <s v="Matched"/>
    <x v="0"/>
  </r>
  <r>
    <s v="INV-189"/>
    <x v="4"/>
    <x v="0"/>
    <d v="2024-06-29T00:00:00"/>
    <x v="5"/>
    <s v="PO-289"/>
    <s v="GRN-389"/>
    <n v="95000"/>
    <s v="AP-MAINT"/>
    <x v="4"/>
    <s v="Invoice"/>
    <s v="Funded"/>
    <s v="Urgent"/>
    <x v="0"/>
    <s v="06-Jul-24"/>
    <x v="126"/>
    <s v="-"/>
    <n v="6"/>
    <x v="0"/>
    <s v="Matched"/>
    <x v="0"/>
  </r>
  <r>
    <s v="INV-193"/>
    <x v="0"/>
    <x v="0"/>
    <d v="2024-07-03T00:00:00"/>
    <x v="6"/>
    <s v="PO-293"/>
    <s v="GRN-393"/>
    <n v="52000"/>
    <s v="AP-ELEC"/>
    <x v="0"/>
    <s v="Invoice"/>
    <s v="Pending Funds"/>
    <s v="Low"/>
    <x v="1"/>
    <s v="10-Jul-24"/>
    <x v="1"/>
    <s v="Funds not released"/>
    <s v="-"/>
    <x v="1"/>
    <s v="Matched"/>
    <x v="0"/>
  </r>
  <r>
    <s v="INV-198"/>
    <x v="0"/>
    <x v="1"/>
    <d v="2024-07-08T00:00:00"/>
    <x v="6"/>
    <s v="PO-298"/>
    <s v="GRN-398"/>
    <n v="68000"/>
    <s v="AP-ELEC"/>
    <x v="0"/>
    <s v="Invoice"/>
    <s v="Funded"/>
    <s v="Normal"/>
    <x v="0"/>
    <s v="15-Jul-24"/>
    <x v="127"/>
    <s v="-"/>
    <n v="7"/>
    <x v="0"/>
    <s v="Matched"/>
    <x v="0"/>
  </r>
  <r>
    <s v="INV-192"/>
    <x v="1"/>
    <x v="3"/>
    <d v="2024-07-02T00:00:00"/>
    <x v="6"/>
    <s v="PO-292"/>
    <s v="GRN-392"/>
    <n v="89000"/>
    <s v="AP-CIVIL"/>
    <x v="1"/>
    <s v="Invoice"/>
    <s v="Funded"/>
    <s v="Normal"/>
    <x v="2"/>
    <s v="09-Jul-24"/>
    <x v="1"/>
    <s v="Awaiting approver"/>
    <s v="-"/>
    <x v="1"/>
    <s v="Matched"/>
    <x v="0"/>
  </r>
  <r>
    <s v="INV-197"/>
    <x v="1"/>
    <x v="0"/>
    <d v="2024-07-07T00:00:00"/>
    <x v="6"/>
    <s v="PO-297"/>
    <s v="GRN-397"/>
    <n v="93000"/>
    <s v="AP-CIVIL"/>
    <x v="1"/>
    <s v="Invoice"/>
    <s v="Funded"/>
    <s v="Normal"/>
    <x v="0"/>
    <s v="14-Jul-24"/>
    <x v="128"/>
    <s v="-"/>
    <n v="7"/>
    <x v="0"/>
    <s v="Matched"/>
    <x v="0"/>
  </r>
  <r>
    <s v="INV-191"/>
    <x v="2"/>
    <x v="2"/>
    <d v="2024-07-01T00:00:00"/>
    <x v="6"/>
    <s v="PO-291"/>
    <s v="GRN-391"/>
    <n v="64000"/>
    <s v="AP-SUPPLY"/>
    <x v="2"/>
    <s v="Invoice"/>
    <s v="Funded"/>
    <s v="Normal"/>
    <x v="0"/>
    <s v="08-Jul-24"/>
    <x v="129"/>
    <s v="-"/>
    <n v="7"/>
    <x v="0"/>
    <s v="Matched"/>
    <x v="0"/>
  </r>
  <r>
    <s v="INV-196"/>
    <x v="2"/>
    <x v="3"/>
    <d v="2024-07-06T00:00:00"/>
    <x v="6"/>
    <s v="PO-296"/>
    <s v="GRN-396"/>
    <n v="-25000"/>
    <s v="AP-SUPPLY"/>
    <x v="2"/>
    <s v="Credit Note"/>
    <s v="Funded"/>
    <s v="Normal"/>
    <x v="0"/>
    <s v="13-Jul-24"/>
    <x v="130"/>
    <s v="Credit note issued"/>
    <n v="7"/>
    <x v="0"/>
    <s v="Matched"/>
    <x v="0"/>
  </r>
  <r>
    <s v="INV-195"/>
    <x v="3"/>
    <x v="2"/>
    <d v="2024-07-05T00:00:00"/>
    <x v="6"/>
    <s v="PO-295"/>
    <s v="GRN-395"/>
    <n v="169000"/>
    <s v="AP-UTIL"/>
    <x v="3"/>
    <s v="Invoice"/>
    <s v="Funded"/>
    <s v="Urgent"/>
    <x v="0"/>
    <s v="12-Jul-24"/>
    <x v="131"/>
    <s v="-"/>
    <n v="7"/>
    <x v="0"/>
    <s v="Matched"/>
    <x v="0"/>
  </r>
  <r>
    <s v="INV-200"/>
    <x v="3"/>
    <x v="3"/>
    <d v="2024-07-10T00:00:00"/>
    <x v="6"/>
    <s v="PO-300"/>
    <s v="GRN-400"/>
    <n v="155000"/>
    <s v="AP-UTIL"/>
    <x v="3"/>
    <s v="Invoice"/>
    <s v="Funded"/>
    <s v="Normal"/>
    <x v="0"/>
    <s v="17-Jul-24"/>
    <x v="132"/>
    <s v="-"/>
    <n v="7"/>
    <x v="0"/>
    <s v="Matched"/>
    <x v="0"/>
  </r>
  <r>
    <s v="INV-194"/>
    <x v="4"/>
    <x v="1"/>
    <d v="2024-07-04T00:00:00"/>
    <x v="6"/>
    <s v="PO-294"/>
    <s v="GRN-394"/>
    <n v="77000"/>
    <s v="AP-MAINT"/>
    <x v="4"/>
    <s v="Invoice"/>
    <s v="Funded"/>
    <s v="Normal"/>
    <x v="0"/>
    <s v="11-Jul-24"/>
    <x v="133"/>
    <s v="-"/>
    <n v="7"/>
    <x v="0"/>
    <s v="Matched"/>
    <x v="0"/>
  </r>
  <r>
    <s v="INV-199"/>
    <x v="4"/>
    <x v="2"/>
    <d v="2024-07-09T00:00:00"/>
    <x v="6"/>
    <s v="PO-299"/>
    <s v="GRN-399"/>
    <n v="86000"/>
    <s v="AP-MAINT"/>
    <x v="4"/>
    <s v="Invoice"/>
    <s v="Funded"/>
    <s v="Urgent"/>
    <x v="0"/>
    <s v="16-Jul-24"/>
    <x v="127"/>
    <s v="-"/>
    <n v="6"/>
    <x v="0"/>
    <s v="Matched"/>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288AF1-3A9A-4305-BE86-8F8454A2AF9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0">
  <location ref="D4:F11" firstHeaderRow="0" firstDataRow="1" firstDataCol="1"/>
  <pivotFields count="21">
    <pivotField dataField="1" compact="0" outline="0" subtotalTop="0" showAll="0" defaultSubtotal="0"/>
    <pivotField compact="0" outline="0" subtotalTop="0" showAll="0" defaultSubtotal="0">
      <items count="5">
        <item x="0"/>
        <item x="1"/>
        <item x="2"/>
        <item x="3"/>
        <item x="4"/>
      </items>
    </pivotField>
    <pivotField compact="0" outline="0" subtotalTop="0" showAll="0" defaultSubtotal="0">
      <items count="4">
        <item x="2"/>
        <item x="1"/>
        <item x="3"/>
        <item x="0"/>
      </items>
    </pivotField>
    <pivotField compact="0" outline="0" subtotalTop="0" showAll="0" defaultSubtotal="0"/>
    <pivotField axis="axisRow" compact="0" outline="0" subtotalTop="0" showAll="0" defaultSubtotal="0">
      <items count="21">
        <item m="1" x="14"/>
        <item m="1" x="15"/>
        <item m="1" x="16"/>
        <item m="1" x="17"/>
        <item m="1" x="18"/>
        <item m="1" x="19"/>
        <item m="1" x="20"/>
        <item m="1" x="7"/>
        <item m="1" x="8"/>
        <item m="1" x="9"/>
        <item m="1" x="10"/>
        <item m="1" x="11"/>
        <item m="1" x="12"/>
        <item m="1" x="13"/>
        <item x="0"/>
        <item x="1"/>
        <item x="2"/>
        <item x="3"/>
        <item x="4"/>
        <item x="5"/>
        <item x="6"/>
      </items>
    </pivotField>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items count="5">
        <item x="2"/>
        <item x="1"/>
        <item x="0"/>
        <item x="4"/>
        <item x="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3">
        <item x="0"/>
        <item x="1"/>
        <item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7">
    <i>
      <x v="14"/>
    </i>
    <i>
      <x v="15"/>
    </i>
    <i>
      <x v="16"/>
    </i>
    <i>
      <x v="17"/>
    </i>
    <i>
      <x v="18"/>
    </i>
    <i>
      <x v="19"/>
    </i>
    <i>
      <x v="20"/>
    </i>
  </rowItems>
  <colFields count="1">
    <field x="-2"/>
  </colFields>
  <colItems count="2">
    <i>
      <x/>
    </i>
    <i i="1">
      <x v="1"/>
    </i>
  </colItems>
  <dataFields count="2">
    <dataField name="Amount" fld="7" baseField="4" baseItem="14" numFmtId="166"/>
    <dataField name="Total Invoices" fld="0" subtotal="count" baseField="4" baseItem="14"/>
  </dataFields>
  <formats count="6">
    <format dxfId="48">
      <pivotArea dataOnly="0" labelOnly="1" outline="0" fieldPosition="0">
        <references count="1">
          <reference field="4" count="0"/>
        </references>
      </pivotArea>
    </format>
    <format dxfId="47">
      <pivotArea outline="0" fieldPosition="0">
        <references count="1">
          <reference field="4294967294" count="1" selected="0">
            <x v="0"/>
          </reference>
        </references>
      </pivotArea>
    </format>
    <format dxfId="27">
      <pivotArea field="4" type="button" dataOnly="0" labelOnly="1" outline="0" axis="axisRow" fieldPosition="0"/>
    </format>
    <format dxfId="26">
      <pivotArea dataOnly="0" labelOnly="1" outline="0" fieldPosition="0">
        <references count="1">
          <reference field="4294967294" count="2">
            <x v="0"/>
            <x v="1"/>
          </reference>
        </references>
      </pivotArea>
    </format>
    <format dxfId="25">
      <pivotArea field="4" type="button" dataOnly="0" labelOnly="1" outline="0" axis="axisRow" fieldPosition="0"/>
    </format>
    <format dxfId="24">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ADFFC2-EBB7-4458-846C-C0A0FF3B927D}"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5">
  <location ref="D16:E23" firstHeaderRow="1" firstDataRow="1" firstDataCol="1" rowPageCount="2" colPageCount="1"/>
  <pivotFields count="21">
    <pivotField dataField="1" compact="0" outline="0" subtotalTop="0" showAll="0" defaultSubtotal="0"/>
    <pivotField compact="0" outline="0" subtotalTop="0" showAll="0" defaultSubtotal="0">
      <items count="5">
        <item x="0"/>
        <item x="1"/>
        <item x="2"/>
        <item x="3"/>
        <item x="4"/>
      </items>
    </pivotField>
    <pivotField compact="0" outline="0" subtotalTop="0" showAll="0" defaultSubtotal="0">
      <items count="4">
        <item x="2"/>
        <item x="1"/>
        <item x="3"/>
        <item x="0"/>
      </items>
    </pivotField>
    <pivotField compact="0" outline="0" subtotalTop="0" showAll="0" defaultSubtotal="0"/>
    <pivotField axis="axisRow" compact="0" outline="0" subtotalTop="0" showAll="0" defaultSubtotal="0">
      <items count="21">
        <item m="1" x="14"/>
        <item m="1" x="15"/>
        <item m="1" x="16"/>
        <item m="1" x="17"/>
        <item m="1" x="18"/>
        <item m="1" x="19"/>
        <item m="1" x="20"/>
        <item m="1" x="7"/>
        <item m="1" x="8"/>
        <item m="1" x="9"/>
        <item m="1" x="10"/>
        <item m="1" x="11"/>
        <item m="1" x="12"/>
        <item m="1" x="13"/>
        <item x="0"/>
        <item x="1"/>
        <item x="2"/>
        <item x="3"/>
        <item x="4"/>
        <item x="5"/>
        <item x="6"/>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5">
        <item x="2"/>
        <item x="1"/>
        <item x="0"/>
        <item x="4"/>
        <item x="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3">
        <item x="0"/>
        <item x="1"/>
        <item x="2"/>
      </items>
    </pivotField>
    <pivotField compact="0" outline="0" subtotalTop="0" showAll="0" defaultSubtotal="0"/>
    <pivotField axis="axisPage" compact="0" outline="0" subtotalTop="0" showAll="0" defaultSubtotal="0">
      <items count="134">
        <item x="1"/>
        <item x="56"/>
        <item x="100"/>
        <item x="24"/>
        <item x="54"/>
        <item x="123"/>
        <item x="95"/>
        <item x="76"/>
        <item x="13"/>
        <item x="118"/>
        <item x="90"/>
        <item x="38"/>
        <item x="72"/>
        <item x="9"/>
        <item x="113"/>
        <item x="103"/>
        <item x="34"/>
        <item x="66"/>
        <item x="44"/>
        <item x="5"/>
        <item x="126"/>
        <item x="29"/>
        <item x="61"/>
        <item x="55"/>
        <item x="18"/>
        <item x="85"/>
        <item x="39"/>
        <item x="108"/>
        <item x="77"/>
        <item x="67"/>
        <item x="30"/>
        <item x="10"/>
        <item x="129"/>
        <item x="114"/>
        <item x="25"/>
        <item x="91"/>
        <item x="62"/>
        <item x="26"/>
        <item x="109"/>
        <item x="86"/>
        <item x="57"/>
        <item x="20"/>
        <item x="0"/>
        <item x="104"/>
        <item x="80"/>
        <item x="133"/>
        <item x="101"/>
        <item x="73"/>
        <item x="35"/>
        <item x="19"/>
        <item x="131"/>
        <item x="119"/>
        <item x="96"/>
        <item x="68"/>
        <item x="14"/>
        <item x="130"/>
        <item x="92"/>
        <item x="63"/>
        <item x="6"/>
        <item x="128"/>
        <item x="110"/>
        <item x="48"/>
        <item x="87"/>
        <item x="58"/>
        <item x="21"/>
        <item x="127"/>
        <item x="105"/>
        <item x="45"/>
        <item x="81"/>
        <item x="2"/>
        <item x="40"/>
        <item x="74"/>
        <item x="36"/>
        <item x="15"/>
        <item x="132"/>
        <item x="120"/>
        <item x="97"/>
        <item x="69"/>
        <item x="115"/>
        <item x="51"/>
        <item x="11"/>
        <item x="111"/>
        <item x="49"/>
        <item x="59"/>
        <item x="7"/>
        <item x="106"/>
        <item x="46"/>
        <item x="82"/>
        <item x="78"/>
        <item x="22"/>
        <item x="3"/>
        <item x="124"/>
        <item x="41"/>
        <item x="64"/>
        <item x="31"/>
        <item x="16"/>
        <item x="121"/>
        <item x="98"/>
        <item x="70"/>
        <item x="32"/>
        <item x="116"/>
        <item x="52"/>
        <item x="93"/>
        <item x="27"/>
        <item x="12"/>
        <item x="88"/>
        <item x="79"/>
        <item x="23"/>
        <item x="8"/>
        <item x="125"/>
        <item x="83"/>
        <item x="4"/>
        <item x="42"/>
        <item x="75"/>
        <item x="37"/>
        <item x="122"/>
        <item x="99"/>
        <item x="71"/>
        <item x="33"/>
        <item x="17"/>
        <item x="117"/>
        <item x="53"/>
        <item x="94"/>
        <item x="65"/>
        <item x="28"/>
        <item x="112"/>
        <item x="50"/>
        <item x="89"/>
        <item x="60"/>
        <item x="107"/>
        <item x="47"/>
        <item x="84"/>
        <item x="43"/>
        <item x="10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2">
        <item x="1"/>
        <item x="0"/>
      </items>
    </pivotField>
  </pivotFields>
  <rowFields count="1">
    <field x="4"/>
  </rowFields>
  <rowItems count="7">
    <i>
      <x v="14"/>
    </i>
    <i>
      <x v="15"/>
    </i>
    <i>
      <x v="16"/>
    </i>
    <i>
      <x v="17"/>
    </i>
    <i>
      <x v="18"/>
    </i>
    <i>
      <x v="19"/>
    </i>
    <i>
      <x v="20"/>
    </i>
  </rowItems>
  <colItems count="1">
    <i/>
  </colItems>
  <pageFields count="2">
    <pageField fld="20" item="1" hier="-1"/>
    <pageField fld="15" item="0" hier="-1"/>
  </pageFields>
  <dataFields count="1">
    <dataField name="Total Invoices" fld="0" subtotal="count" baseField="4" baseItem="14"/>
  </dataFields>
  <formats count="5">
    <format dxfId="49">
      <pivotArea dataOnly="0" labelOnly="1" outline="0" fieldPosition="0">
        <references count="1">
          <reference field="4" count="0"/>
        </references>
      </pivotArea>
    </format>
    <format dxfId="5">
      <pivotArea field="4" type="button" dataOnly="0" labelOnly="1" outline="0" axis="axisRow" fieldPosition="0"/>
    </format>
    <format dxfId="4">
      <pivotArea dataOnly="0" labelOnly="1" outline="0" axis="axisValues" fieldPosition="0"/>
    </format>
    <format dxfId="2">
      <pivotArea field="4" type="button" dataOnly="0" labelOnly="1" outline="0" axis="axisRow" fieldPosition="0"/>
    </format>
    <format dxfId="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FCCE0B-E486-47DA-B517-76BAE7E82FD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1">
  <location ref="A15:B20" firstHeaderRow="1" firstDataRow="1" firstDataCol="1" rowPageCount="1" colPageCount="1"/>
  <pivotFields count="21">
    <pivotField compact="0" outline="0" subtotalTop="0" showAll="0" defaultSubtotal="0"/>
    <pivotField axis="axisRow" compact="0" outline="0" subtotalTop="0" showAll="0" sortType="descending" defaultSubtotal="0">
      <items count="5">
        <item x="4"/>
        <item x="3"/>
        <item x="2"/>
        <item x="1"/>
        <item x="0"/>
      </items>
      <autoSortScope>
        <pivotArea dataOnly="0" outline="0" fieldPosition="0">
          <references count="1">
            <reference field="4294967294" count="1" selected="0">
              <x v="0"/>
            </reference>
          </references>
        </pivotArea>
      </autoSortScope>
    </pivotField>
    <pivotField compact="0" outline="0" subtotalTop="0" showAll="0" defaultSubtotal="0">
      <items count="4">
        <item x="2"/>
        <item x="1"/>
        <item x="3"/>
        <item x="0"/>
      </items>
    </pivotField>
    <pivotField compact="0" outline="0" subtotalTop="0" showAll="0" defaultSubtotal="0"/>
    <pivotField compact="0" outline="0" subtotalTop="0" showAll="0" defaultSubtotal="0">
      <items count="21">
        <item x="3"/>
        <item x="4"/>
        <item x="5"/>
        <item x="6"/>
        <item x="0"/>
        <item x="1"/>
        <item x="2"/>
        <item m="1" x="14"/>
        <item m="1" x="15"/>
        <item m="1" x="16"/>
        <item m="1" x="17"/>
        <item m="1" x="18"/>
        <item m="1" x="19"/>
        <item m="1" x="20"/>
        <item m="1" x="10"/>
        <item m="1" x="8"/>
        <item m="1" x="7"/>
        <item m="1" x="13"/>
        <item m="1" x="12"/>
        <item m="1" x="9"/>
        <item m="1" x="11"/>
      </items>
    </pivotField>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items count="5">
        <item x="2"/>
        <item x="1"/>
        <item x="0"/>
        <item x="4"/>
        <item x="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3">
        <item x="0"/>
        <item x="1"/>
        <item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2">
        <item x="1"/>
        <item x="0"/>
      </items>
    </pivotField>
  </pivotFields>
  <rowFields count="1">
    <field x="1"/>
  </rowFields>
  <rowItems count="5">
    <i>
      <x v="1"/>
    </i>
    <i>
      <x v="3"/>
    </i>
    <i>
      <x/>
    </i>
    <i>
      <x v="4"/>
    </i>
    <i>
      <x v="2"/>
    </i>
  </rowItems>
  <colItems count="1">
    <i/>
  </colItems>
  <pageFields count="1">
    <pageField fld="20" item="1" hier="-1"/>
  </pageFields>
  <dataFields count="1">
    <dataField name="Amount" fld="7" baseField="1" baseItem="0" numFmtId="166"/>
  </dataFields>
  <formats count="5">
    <format dxfId="50">
      <pivotArea outline="0" fieldPosition="0">
        <references count="1">
          <reference field="4294967294" count="1" selected="0">
            <x v="0"/>
          </reference>
        </references>
      </pivotArea>
    </format>
    <format dxfId="17">
      <pivotArea field="1" type="button" dataOnly="0" labelOnly="1" outline="0" axis="axisRow" fieldPosition="0"/>
    </format>
    <format dxfId="16">
      <pivotArea dataOnly="0" labelOnly="1" outline="0" axis="axisValues" fieldPosition="0"/>
    </format>
    <format dxfId="14">
      <pivotArea field="1" type="button" dataOnly="0" labelOnly="1" outline="0" axis="axisRow" fieldPosition="0"/>
    </format>
    <format dxfId="13">
      <pivotArea dataOnly="0" labelOnly="1" outline="0" axis="axisValues" fieldPosition="0"/>
    </format>
  </format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E8638B-A1CB-4387-A7C5-37C52C9CC66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A6:B10" firstHeaderRow="1" firstDataRow="1" firstDataCol="1" rowPageCount="1" colPageCount="1"/>
  <pivotFields count="21">
    <pivotField compact="0" outline="0" subtotalTop="0" showAll="0" defaultSubtotal="0"/>
    <pivotField compact="0" outline="0" subtotalTop="0" showAll="0" defaultSubtotal="0">
      <items count="5">
        <item x="0"/>
        <item x="1"/>
        <item x="2"/>
        <item x="3"/>
        <item x="4"/>
      </items>
    </pivotField>
    <pivotField axis="axisRow" compact="0" outline="0" subtotalTop="0" showAll="0" sortType="ascending" defaultSubtotal="0">
      <items count="4">
        <item x="2"/>
        <item x="1"/>
        <item x="3"/>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items count="21">
        <item x="3"/>
        <item x="4"/>
        <item x="5"/>
        <item x="6"/>
        <item x="0"/>
        <item x="1"/>
        <item x="2"/>
        <item m="1" x="14"/>
        <item m="1" x="15"/>
        <item m="1" x="16"/>
        <item m="1" x="17"/>
        <item m="1" x="18"/>
        <item m="1" x="19"/>
        <item m="1" x="20"/>
        <item m="1" x="10"/>
        <item m="1" x="8"/>
        <item m="1" x="7"/>
        <item m="1" x="13"/>
        <item m="1" x="12"/>
        <item m="1" x="9"/>
        <item m="1" x="11"/>
      </items>
    </pivotField>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items count="5">
        <item x="2"/>
        <item x="1"/>
        <item x="0"/>
        <item x="4"/>
        <item x="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3">
        <item x="0"/>
        <item x="1"/>
        <item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2">
        <item x="1"/>
        <item x="0"/>
      </items>
    </pivotField>
  </pivotFields>
  <rowFields count="1">
    <field x="2"/>
  </rowFields>
  <rowItems count="4">
    <i>
      <x v="2"/>
    </i>
    <i>
      <x v="1"/>
    </i>
    <i>
      <x/>
    </i>
    <i>
      <x v="3"/>
    </i>
  </rowItems>
  <colItems count="1">
    <i/>
  </colItems>
  <pageFields count="1">
    <pageField fld="20" item="1" hier="-1"/>
  </pageFields>
  <dataFields count="1">
    <dataField name="Avg Amount" fld="7" subtotal="average" baseField="2" baseItem="2" numFmtId="166"/>
  </dataFields>
  <formats count="5">
    <format dxfId="51">
      <pivotArea outline="0" collapsedLevelsAreSubtotals="1" fieldPosition="0"/>
    </format>
    <format dxfId="23">
      <pivotArea field="2" type="button" dataOnly="0" labelOnly="1" outline="0" axis="axisRow" fieldPosition="0"/>
    </format>
    <format dxfId="22">
      <pivotArea dataOnly="0" labelOnly="1" outline="0" axis="axisValues" fieldPosition="0"/>
    </format>
    <format dxfId="20">
      <pivotArea field="2" type="button" dataOnly="0" labelOnly="1" outline="0" axis="axisRow" fieldPosition="0"/>
    </format>
    <format dxfId="1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42BF01-A0C5-48CC-9D9F-C9AC40A31C8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H4:I7" firstHeaderRow="1" firstDataRow="1" firstDataCol="1"/>
  <pivotFields count="21">
    <pivotField dataField="1" compact="0" outline="0" subtotalTop="0" showAll="0" defaultSubtotal="0"/>
    <pivotField compact="0" outline="0" subtotalTop="0" showAll="0" defaultSubtotal="0">
      <items count="5">
        <item x="0"/>
        <item x="1"/>
        <item x="2"/>
        <item x="3"/>
        <item x="4"/>
      </items>
    </pivotField>
    <pivotField compact="0" outline="0" subtotalTop="0" showAll="0" defaultSubtotal="0">
      <items count="4">
        <item x="2"/>
        <item x="1"/>
        <item x="3"/>
        <item x="0"/>
      </items>
    </pivotField>
    <pivotField compact="0" outline="0" subtotalTop="0" showAll="0" defaultSubtotal="0"/>
    <pivotField compact="0" outline="0" subtotalTop="0" showAll="0" defaultSubtotal="0">
      <items count="21">
        <item x="3"/>
        <item x="4"/>
        <item x="5"/>
        <item x="6"/>
        <item x="0"/>
        <item x="1"/>
        <item x="2"/>
        <item m="1" x="14"/>
        <item m="1" x="15"/>
        <item m="1" x="16"/>
        <item m="1" x="17"/>
        <item m="1" x="18"/>
        <item m="1" x="19"/>
        <item m="1" x="20"/>
        <item m="1" x="10"/>
        <item m="1" x="8"/>
        <item m="1" x="7"/>
        <item m="1" x="13"/>
        <item m="1" x="12"/>
        <item m="1" x="9"/>
        <item m="1" x="11"/>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5">
        <item x="2"/>
        <item x="1"/>
        <item x="0"/>
        <item x="4"/>
        <item x="3"/>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sortType="ascending" defaultSubtotal="0">
      <items count="3">
        <item x="0"/>
        <item x="1"/>
        <item x="2"/>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13"/>
  </rowFields>
  <rowItems count="3">
    <i>
      <x v="2"/>
    </i>
    <i>
      <x v="1"/>
    </i>
    <i>
      <x/>
    </i>
  </rowItems>
  <colItems count="1">
    <i/>
  </colItems>
  <dataFields count="1">
    <dataField name="Total Invoices" fld="0" subtotal="count" baseField="13" baseItem="0"/>
  </dataFields>
  <formats count="4">
    <format dxfId="11">
      <pivotArea field="13" type="button" dataOnly="0" labelOnly="1" outline="0" axis="axisRow" fieldPosition="0"/>
    </format>
    <format dxfId="10">
      <pivotArea dataOnly="0" labelOnly="1" outline="0" axis="axisValues" fieldPosition="0"/>
    </format>
    <format dxfId="8">
      <pivotArea field="13" type="button" dataOnly="0" labelOnly="1" outline="0" axis="axisRow" fieldPosition="0"/>
    </format>
    <format dxfId="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3" count="1" selected="0">
            <x v="0"/>
          </reference>
        </references>
      </pivotArea>
    </chartFormat>
    <chartFormat chart="4" format="7">
      <pivotArea type="data" outline="0" fieldPosition="0">
        <references count="2">
          <reference field="4294967294" count="1" selected="0">
            <x v="0"/>
          </reference>
          <reference field="13" count="1" selected="0">
            <x v="1"/>
          </reference>
        </references>
      </pivotArea>
    </chartFormat>
    <chartFormat chart="4"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_Name" xr10:uid="{AB0F633C-FAE7-40A8-8DAB-032F96948A80}" sourceName="Vendor Name">
  <pivotTables>
    <pivotTable tabId="6" name="PivotTable2"/>
    <pivotTable tabId="6" name="PivotTable1"/>
    <pivotTable tabId="6" name="PivotTable3"/>
    <pivotTable tabId="6" name="PivotTable4"/>
    <pivotTable tabId="6" name="PivotTable8"/>
  </pivotTables>
  <data>
    <tabular pivotCacheId="1404446802">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_Name" xr10:uid="{A204954E-69D7-4ABC-A1DD-A2374C46CCEC}" sourceName="Site Name">
  <pivotTables>
    <pivotTable tabId="6" name="PivotTable2"/>
    <pivotTable tabId="6" name="PivotTable1"/>
    <pivotTable tabId="6" name="PivotTable3"/>
    <pivotTable tabId="6" name="PivotTable4"/>
    <pivotTable tabId="6" name="PivotTable8"/>
  </pivotTables>
  <data>
    <tabular pivotCacheId="1404446802">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Center" xr10:uid="{7680ECD1-2625-43BC-80F9-7510EA7E1616}" sourceName="Cost Center">
  <pivotTables>
    <pivotTable tabId="6" name="PivotTable2"/>
    <pivotTable tabId="6" name="PivotTable1"/>
    <pivotTable tabId="6" name="PivotTable3"/>
    <pivotTable tabId="6" name="PivotTable4"/>
    <pivotTable tabId="6" name="PivotTable8"/>
  </pivotTables>
  <data>
    <tabular pivotCacheId="1404446802">
      <items count="5">
        <i x="2" s="1"/>
        <i x="1" s="1"/>
        <i x="0"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roval_Status" xr10:uid="{7741A979-20B2-4003-AE28-FE5A1F0B7253}" sourceName="Approval Status">
  <pivotTables>
    <pivotTable tabId="6" name="PivotTable2"/>
    <pivotTable tabId="6" name="PivotTable1"/>
    <pivotTable tabId="6" name="PivotTable3"/>
    <pivotTable tabId="6" name="PivotTable4"/>
    <pivotTable tabId="6" name="PivotTable8"/>
  </pivotTables>
  <data>
    <tabular pivotCacheId="140444680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 Name" xr10:uid="{69F6948A-3DBD-48B4-8FC1-37BCC3D665C4}" cache="Slicer_Vendor_Name" caption="Vendor Name" style="SlicerStyleOther1" rowHeight="241300"/>
  <slicer name="Site Name" xr10:uid="{0C931B9C-1A7C-4BE9-B5A9-1BE0EFBFAD8C}" cache="Slicer_Site_Name" caption="Site Name" style="SlicerStyleOther1" rowHeight="241300"/>
  <slicer name="Cost Center" xr10:uid="{15C9AE02-8ADF-4004-A308-73175354C0BD}" cache="Slicer_Cost_Center" caption="Cost Center" columnCount="5" style="SlicerStyleOther1" rowHeight="241300"/>
  <slicer name="Approval Status" xr10:uid="{6815D7C6-E27C-4A4B-B513-517AFF72C517}" cache="Slicer_Approval_Status" caption="Approval Status"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39F57A3-CA6A-47AA-9B5B-76809AC5451F}">
  <we:reference id="wa104381504" version="1.0.0.0" store="en-US" storeType="OMEX"/>
  <we:alternateReferences>
    <we:reference id="WA104381504" version="1.0.0.0" store="" storeType="OMEX"/>
  </we:alternateReferences>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DCA18-9CE0-48CD-9CC6-735F3A2FA720}">
  <dimension ref="A1:U201"/>
  <sheetViews>
    <sheetView topLeftCell="H1" workbookViewId="0">
      <selection activeCell="U4" sqref="U4"/>
    </sheetView>
  </sheetViews>
  <sheetFormatPr defaultRowHeight="14.5" x14ac:dyDescent="0.35"/>
  <cols>
    <col min="1" max="1" width="10.6328125" bestFit="1" customWidth="1"/>
    <col min="2" max="2" width="15.81640625" bestFit="1" customWidth="1"/>
    <col min="3" max="3" width="12.90625" bestFit="1" customWidth="1"/>
    <col min="4" max="4" width="12.26953125" bestFit="1" customWidth="1"/>
    <col min="5" max="5" width="12.26953125" customWidth="1"/>
    <col min="6" max="7" width="8.453125" bestFit="1" customWidth="1"/>
    <col min="8" max="8" width="11.08984375" bestFit="1" customWidth="1"/>
    <col min="9" max="9" width="13.08984375" bestFit="1" customWidth="1"/>
    <col min="10" max="10" width="11.90625" bestFit="1" customWidth="1"/>
    <col min="11" max="11" width="9.90625" bestFit="1" customWidth="1"/>
    <col min="12" max="12" width="15.08984375" bestFit="1" customWidth="1"/>
    <col min="13" max="13" width="7.7265625" bestFit="1" customWidth="1"/>
    <col min="14" max="14" width="15.90625" bestFit="1" customWidth="1"/>
    <col min="15" max="15" width="9.54296875" bestFit="1" customWidth="1"/>
    <col min="16" max="16" width="9.6328125" bestFit="1" customWidth="1"/>
    <col min="17" max="17" width="17.54296875" bestFit="1" customWidth="1"/>
    <col min="18" max="18" width="11.1796875" bestFit="1" customWidth="1"/>
    <col min="20" max="20" width="13.08984375" bestFit="1" customWidth="1"/>
    <col min="21" max="21" width="10" bestFit="1" customWidth="1"/>
  </cols>
  <sheetData>
    <row r="1" spans="1:21" ht="28" x14ac:dyDescent="0.35">
      <c r="A1" s="20" t="s">
        <v>0</v>
      </c>
      <c r="B1" s="20" t="s">
        <v>1</v>
      </c>
      <c r="C1" s="20" t="s">
        <v>2</v>
      </c>
      <c r="D1" s="20" t="s">
        <v>3</v>
      </c>
      <c r="E1" s="20" t="s">
        <v>644</v>
      </c>
      <c r="F1" s="20" t="s">
        <v>4</v>
      </c>
      <c r="G1" s="20" t="s">
        <v>5</v>
      </c>
      <c r="H1" s="20" t="s">
        <v>6</v>
      </c>
      <c r="I1" s="20" t="s">
        <v>7</v>
      </c>
      <c r="J1" s="20" t="s">
        <v>8</v>
      </c>
      <c r="K1" s="20" t="s">
        <v>9</v>
      </c>
      <c r="L1" s="20" t="s">
        <v>10</v>
      </c>
      <c r="M1" s="20" t="s">
        <v>11</v>
      </c>
      <c r="N1" s="20" t="s">
        <v>12</v>
      </c>
      <c r="O1" s="20" t="s">
        <v>13</v>
      </c>
      <c r="P1" s="20" t="s">
        <v>14</v>
      </c>
      <c r="Q1" s="20" t="s">
        <v>18</v>
      </c>
      <c r="R1" s="20" t="s">
        <v>15</v>
      </c>
      <c r="S1" s="20" t="s">
        <v>16</v>
      </c>
      <c r="T1" s="20" t="s">
        <v>17</v>
      </c>
      <c r="U1" s="20" t="s">
        <v>634</v>
      </c>
    </row>
    <row r="2" spans="1:21" x14ac:dyDescent="0.35">
      <c r="A2" s="21" t="s">
        <v>38</v>
      </c>
      <c r="B2" s="21" t="s">
        <v>39</v>
      </c>
      <c r="C2" s="21" t="s">
        <v>40</v>
      </c>
      <c r="D2" s="22">
        <v>45295</v>
      </c>
      <c r="E2" s="22" t="s">
        <v>688</v>
      </c>
      <c r="F2" s="21" t="s">
        <v>41</v>
      </c>
      <c r="G2" s="21" t="s">
        <v>42</v>
      </c>
      <c r="H2" s="21">
        <v>32000</v>
      </c>
      <c r="I2" s="21" t="s">
        <v>43</v>
      </c>
      <c r="J2" s="21" t="s">
        <v>44</v>
      </c>
      <c r="K2" s="21" t="s">
        <v>26</v>
      </c>
      <c r="L2" s="21" t="s">
        <v>27</v>
      </c>
      <c r="M2" s="21" t="s">
        <v>45</v>
      </c>
      <c r="N2" s="21" t="s">
        <v>29</v>
      </c>
      <c r="O2" s="24">
        <v>45302</v>
      </c>
      <c r="P2" s="24">
        <v>45301</v>
      </c>
      <c r="Q2" s="21" t="s">
        <v>30</v>
      </c>
      <c r="R2" s="21">
        <f t="shared" ref="R2:R33" si="0">IF(P2="-","-",P2-D2)</f>
        <v>6</v>
      </c>
      <c r="S2" s="23" t="str">
        <f t="shared" ref="S2:S33" si="1">IF(R2="-","-",IF(R2&lt;=7,"Yes","No"))</f>
        <v>Yes</v>
      </c>
      <c r="T2" s="21" t="str">
        <f t="shared" ref="T2:T33" si="2">IF(AND(F2&lt;&gt;"MISSING",G2&lt;&gt;"MISSING"),"Matched","Mismatched")</f>
        <v>Matched</v>
      </c>
      <c r="U2" s="2" t="str">
        <f>IF(COUNTIFS($B$2:B2,B2,$F$2:F2,F2,$H$2:H2,H2)&gt;1,"DUPLICATE","OK")</f>
        <v>OK</v>
      </c>
    </row>
    <row r="3" spans="1:21" x14ac:dyDescent="0.35">
      <c r="A3" s="21" t="s">
        <v>504</v>
      </c>
      <c r="B3" s="21" t="s">
        <v>39</v>
      </c>
      <c r="C3" s="21" t="s">
        <v>40</v>
      </c>
      <c r="D3" s="22">
        <v>45296</v>
      </c>
      <c r="E3" s="22" t="s">
        <v>688</v>
      </c>
      <c r="F3" s="21" t="s">
        <v>41</v>
      </c>
      <c r="G3" s="21" t="s">
        <v>42</v>
      </c>
      <c r="H3" s="21">
        <v>32000</v>
      </c>
      <c r="I3" s="21" t="s">
        <v>43</v>
      </c>
      <c r="J3" s="21" t="s">
        <v>44</v>
      </c>
      <c r="K3" s="21" t="s">
        <v>26</v>
      </c>
      <c r="L3" s="21" t="s">
        <v>27</v>
      </c>
      <c r="M3" s="21" t="s">
        <v>62</v>
      </c>
      <c r="N3" s="21" t="s">
        <v>114</v>
      </c>
      <c r="O3" s="24">
        <v>45303</v>
      </c>
      <c r="P3" s="21" t="s">
        <v>30</v>
      </c>
      <c r="Q3" s="21" t="s">
        <v>505</v>
      </c>
      <c r="R3" s="21" t="str">
        <f t="shared" si="0"/>
        <v>-</v>
      </c>
      <c r="S3" s="23" t="str">
        <f t="shared" si="1"/>
        <v>-</v>
      </c>
      <c r="T3" s="21" t="str">
        <f t="shared" si="2"/>
        <v>Matched</v>
      </c>
      <c r="U3" s="2" t="str">
        <f>IF(COUNTIFS($B$2:B3,B3,$F$2:F3,F3,$H$2:H3,H3)&gt;1,"DUPLICATE","OK")</f>
        <v>DUPLICATE</v>
      </c>
    </row>
    <row r="4" spans="1:21" x14ac:dyDescent="0.35">
      <c r="A4" s="21" t="s">
        <v>66</v>
      </c>
      <c r="B4" s="21" t="s">
        <v>39</v>
      </c>
      <c r="C4" s="21" t="s">
        <v>48</v>
      </c>
      <c r="D4" s="22">
        <v>45300</v>
      </c>
      <c r="E4" s="22" t="s">
        <v>688</v>
      </c>
      <c r="F4" s="21" t="s">
        <v>67</v>
      </c>
      <c r="G4" s="21" t="s">
        <v>68</v>
      </c>
      <c r="H4" s="21">
        <v>67000</v>
      </c>
      <c r="I4" s="21" t="s">
        <v>43</v>
      </c>
      <c r="J4" s="21" t="s">
        <v>44</v>
      </c>
      <c r="K4" s="21" t="s">
        <v>26</v>
      </c>
      <c r="L4" s="21" t="s">
        <v>27</v>
      </c>
      <c r="M4" s="21" t="s">
        <v>28</v>
      </c>
      <c r="N4" s="21" t="s">
        <v>29</v>
      </c>
      <c r="O4" s="24">
        <v>45307</v>
      </c>
      <c r="P4" s="24">
        <v>45307</v>
      </c>
      <c r="Q4" s="21" t="s">
        <v>30</v>
      </c>
      <c r="R4" s="21">
        <f t="shared" si="0"/>
        <v>7</v>
      </c>
      <c r="S4" s="23" t="str">
        <f t="shared" si="1"/>
        <v>Yes</v>
      </c>
      <c r="T4" s="21" t="str">
        <f t="shared" si="2"/>
        <v>Matched</v>
      </c>
      <c r="U4" s="2" t="str">
        <f>IF(COUNTIFS($B$2:B4,B4,$F$2:F4,F4,$H$2:H4,H4)&gt;1,"DUPLICATE","OK")</f>
        <v>OK</v>
      </c>
    </row>
    <row r="5" spans="1:21" x14ac:dyDescent="0.35">
      <c r="A5" s="21" t="s">
        <v>512</v>
      </c>
      <c r="B5" s="21" t="s">
        <v>39</v>
      </c>
      <c r="C5" s="21" t="s">
        <v>48</v>
      </c>
      <c r="D5" s="22">
        <v>45301</v>
      </c>
      <c r="E5" s="22" t="s">
        <v>688</v>
      </c>
      <c r="F5" s="21" t="s">
        <v>67</v>
      </c>
      <c r="G5" s="21" t="s">
        <v>68</v>
      </c>
      <c r="H5" s="21">
        <v>67000</v>
      </c>
      <c r="I5" s="21" t="s">
        <v>43</v>
      </c>
      <c r="J5" s="21" t="s">
        <v>44</v>
      </c>
      <c r="K5" s="21" t="s">
        <v>26</v>
      </c>
      <c r="L5" s="21" t="s">
        <v>27</v>
      </c>
      <c r="M5" s="21" t="s">
        <v>28</v>
      </c>
      <c r="N5" s="21" t="s">
        <v>114</v>
      </c>
      <c r="O5" s="24">
        <v>45308</v>
      </c>
      <c r="P5" s="21" t="s">
        <v>30</v>
      </c>
      <c r="Q5" s="21" t="s">
        <v>505</v>
      </c>
      <c r="R5" s="21" t="str">
        <f t="shared" si="0"/>
        <v>-</v>
      </c>
      <c r="S5" s="23" t="str">
        <f t="shared" si="1"/>
        <v>-</v>
      </c>
      <c r="T5" s="21" t="str">
        <f t="shared" si="2"/>
        <v>Matched</v>
      </c>
      <c r="U5" s="2" t="str">
        <f>IF(COUNTIFS($B$2:B5,B5,$F$2:F5,F5,$H$2:H5,H5)&gt;1,"DUPLICATE","OK")</f>
        <v>DUPLICATE</v>
      </c>
    </row>
    <row r="6" spans="1:21" x14ac:dyDescent="0.35">
      <c r="A6" s="21" t="s">
        <v>81</v>
      </c>
      <c r="B6" s="21" t="s">
        <v>39</v>
      </c>
      <c r="C6" s="21" t="s">
        <v>21</v>
      </c>
      <c r="D6" s="22">
        <v>45305</v>
      </c>
      <c r="E6" s="22" t="s">
        <v>688</v>
      </c>
      <c r="F6" s="21" t="s">
        <v>82</v>
      </c>
      <c r="G6" s="21" t="s">
        <v>83</v>
      </c>
      <c r="H6" s="21">
        <v>41000</v>
      </c>
      <c r="I6" s="21" t="s">
        <v>43</v>
      </c>
      <c r="J6" s="21" t="s">
        <v>44</v>
      </c>
      <c r="K6" s="21" t="s">
        <v>26</v>
      </c>
      <c r="L6" s="21" t="s">
        <v>27</v>
      </c>
      <c r="M6" s="21" t="s">
        <v>62</v>
      </c>
      <c r="N6" s="21" t="s">
        <v>29</v>
      </c>
      <c r="O6" s="24">
        <v>45312</v>
      </c>
      <c r="P6" s="24">
        <v>45312</v>
      </c>
      <c r="Q6" s="21" t="s">
        <v>30</v>
      </c>
      <c r="R6" s="21">
        <f t="shared" si="0"/>
        <v>7</v>
      </c>
      <c r="S6" s="23" t="str">
        <f t="shared" si="1"/>
        <v>Yes</v>
      </c>
      <c r="T6" s="21" t="str">
        <f t="shared" si="2"/>
        <v>Matched</v>
      </c>
      <c r="U6" s="2" t="str">
        <f>IF(COUNTIFS($B$2:B6,B6,$F$2:F6,F6,$H$2:H6,H6)&gt;1,"DUPLICATE","OK")</f>
        <v>OK</v>
      </c>
    </row>
    <row r="7" spans="1:21" x14ac:dyDescent="0.35">
      <c r="A7" s="21" t="s">
        <v>96</v>
      </c>
      <c r="B7" s="21" t="s">
        <v>39</v>
      </c>
      <c r="C7" s="21" t="s">
        <v>33</v>
      </c>
      <c r="D7" s="22">
        <v>45310</v>
      </c>
      <c r="E7" s="22" t="s">
        <v>688</v>
      </c>
      <c r="F7" s="21" t="s">
        <v>97</v>
      </c>
      <c r="G7" s="21" t="s">
        <v>98</v>
      </c>
      <c r="H7" s="21">
        <v>52000</v>
      </c>
      <c r="I7" s="21" t="s">
        <v>43</v>
      </c>
      <c r="J7" s="21" t="s">
        <v>44</v>
      </c>
      <c r="K7" s="21" t="s">
        <v>26</v>
      </c>
      <c r="L7" s="21" t="s">
        <v>27</v>
      </c>
      <c r="M7" s="21" t="s">
        <v>28</v>
      </c>
      <c r="N7" s="21" t="s">
        <v>29</v>
      </c>
      <c r="O7" s="24">
        <v>45317</v>
      </c>
      <c r="P7" s="24">
        <v>45317</v>
      </c>
      <c r="Q7" s="21" t="s">
        <v>30</v>
      </c>
      <c r="R7" s="21">
        <f t="shared" si="0"/>
        <v>7</v>
      </c>
      <c r="S7" s="23" t="str">
        <f t="shared" si="1"/>
        <v>Yes</v>
      </c>
      <c r="T7" s="21" t="str">
        <f t="shared" si="2"/>
        <v>Matched</v>
      </c>
      <c r="U7" s="2" t="str">
        <f>IF(COUNTIFS($B$2:B7,B7,$F$2:F7,F7,$H$2:H7,H7)&gt;1,"DUPLICATE","OK")</f>
        <v>OK</v>
      </c>
    </row>
    <row r="8" spans="1:21" x14ac:dyDescent="0.35">
      <c r="A8" s="21" t="s">
        <v>116</v>
      </c>
      <c r="B8" s="21" t="s">
        <v>39</v>
      </c>
      <c r="C8" s="21" t="s">
        <v>40</v>
      </c>
      <c r="D8" s="22">
        <v>45315</v>
      </c>
      <c r="E8" s="22" t="s">
        <v>688</v>
      </c>
      <c r="F8" s="21" t="s">
        <v>117</v>
      </c>
      <c r="G8" s="21" t="s">
        <v>118</v>
      </c>
      <c r="H8" s="21">
        <v>77000</v>
      </c>
      <c r="I8" s="21" t="s">
        <v>43</v>
      </c>
      <c r="J8" s="21" t="s">
        <v>44</v>
      </c>
      <c r="K8" s="21" t="s">
        <v>26</v>
      </c>
      <c r="L8" s="21" t="s">
        <v>27</v>
      </c>
      <c r="M8" s="21" t="s">
        <v>28</v>
      </c>
      <c r="N8" s="21" t="s">
        <v>108</v>
      </c>
      <c r="O8" s="24">
        <v>45322</v>
      </c>
      <c r="P8" s="21" t="s">
        <v>30</v>
      </c>
      <c r="Q8" s="21" t="s">
        <v>109</v>
      </c>
      <c r="R8" s="21" t="str">
        <f t="shared" si="0"/>
        <v>-</v>
      </c>
      <c r="S8" s="23" t="str">
        <f t="shared" si="1"/>
        <v>-</v>
      </c>
      <c r="T8" s="21" t="str">
        <f t="shared" si="2"/>
        <v>Matched</v>
      </c>
      <c r="U8" s="2" t="str">
        <f>IF(COUNTIFS($B$2:B8,B8,$F$2:F8,F8,$H$2:H8,H8)&gt;1,"DUPLICATE","OK")</f>
        <v>OK</v>
      </c>
    </row>
    <row r="9" spans="1:21" x14ac:dyDescent="0.35">
      <c r="A9" s="21" t="s">
        <v>131</v>
      </c>
      <c r="B9" s="21" t="s">
        <v>39</v>
      </c>
      <c r="C9" s="21" t="s">
        <v>48</v>
      </c>
      <c r="D9" s="22">
        <v>45320</v>
      </c>
      <c r="E9" s="22" t="s">
        <v>688</v>
      </c>
      <c r="F9" s="21" t="s">
        <v>132</v>
      </c>
      <c r="G9" s="21" t="s">
        <v>133</v>
      </c>
      <c r="H9" s="21">
        <v>66000</v>
      </c>
      <c r="I9" s="21" t="s">
        <v>43</v>
      </c>
      <c r="J9" s="21" t="s">
        <v>44</v>
      </c>
      <c r="K9" s="21" t="s">
        <v>26</v>
      </c>
      <c r="L9" s="21" t="s">
        <v>27</v>
      </c>
      <c r="M9" s="21" t="s">
        <v>62</v>
      </c>
      <c r="N9" s="21" t="s">
        <v>29</v>
      </c>
      <c r="O9" s="24">
        <v>45327</v>
      </c>
      <c r="P9" s="24">
        <v>45327</v>
      </c>
      <c r="Q9" s="21" t="s">
        <v>30</v>
      </c>
      <c r="R9" s="21">
        <f t="shared" si="0"/>
        <v>7</v>
      </c>
      <c r="S9" s="23" t="str">
        <f t="shared" si="1"/>
        <v>Yes</v>
      </c>
      <c r="T9" s="21" t="str">
        <f t="shared" si="2"/>
        <v>Matched</v>
      </c>
      <c r="U9" s="2" t="str">
        <f>IF(COUNTIFS($B$2:B9,B9,$F$2:F9,F9,$H$2:H9,H9)&gt;1,"DUPLICATE","OK")</f>
        <v>OK</v>
      </c>
    </row>
    <row r="10" spans="1:21" x14ac:dyDescent="0.35">
      <c r="A10" s="21" t="s">
        <v>31</v>
      </c>
      <c r="B10" s="21" t="s">
        <v>32</v>
      </c>
      <c r="C10" s="21" t="s">
        <v>33</v>
      </c>
      <c r="D10" s="22">
        <v>45294</v>
      </c>
      <c r="E10" s="22" t="s">
        <v>688</v>
      </c>
      <c r="F10" s="21" t="s">
        <v>34</v>
      </c>
      <c r="G10" s="21" t="s">
        <v>35</v>
      </c>
      <c r="H10" s="21">
        <v>78000</v>
      </c>
      <c r="I10" s="21" t="s">
        <v>36</v>
      </c>
      <c r="J10" s="21" t="s">
        <v>37</v>
      </c>
      <c r="K10" s="21" t="s">
        <v>26</v>
      </c>
      <c r="L10" s="21" t="s">
        <v>27</v>
      </c>
      <c r="M10" s="21" t="s">
        <v>28</v>
      </c>
      <c r="N10" s="21" t="s">
        <v>29</v>
      </c>
      <c r="O10" s="24">
        <v>45301</v>
      </c>
      <c r="P10" s="24">
        <v>45301</v>
      </c>
      <c r="Q10" s="21" t="s">
        <v>30</v>
      </c>
      <c r="R10" s="21">
        <f t="shared" si="0"/>
        <v>7</v>
      </c>
      <c r="S10" s="23" t="str">
        <f t="shared" si="1"/>
        <v>Yes</v>
      </c>
      <c r="T10" s="21" t="str">
        <f t="shared" si="2"/>
        <v>Matched</v>
      </c>
      <c r="U10" s="2" t="str">
        <f>IF(COUNTIFS($B$2:B10,B10,$F$2:F10,F10,$H$2:H10,H10)&gt;1,"DUPLICATE","OK")</f>
        <v>OK</v>
      </c>
    </row>
    <row r="11" spans="1:21" x14ac:dyDescent="0.35">
      <c r="A11" s="21" t="s">
        <v>502</v>
      </c>
      <c r="B11" s="21" t="s">
        <v>32</v>
      </c>
      <c r="C11" s="21" t="s">
        <v>33</v>
      </c>
      <c r="D11" s="22">
        <v>45295</v>
      </c>
      <c r="E11" s="22" t="s">
        <v>688</v>
      </c>
      <c r="F11" s="21" t="s">
        <v>34</v>
      </c>
      <c r="G11" s="21" t="s">
        <v>35</v>
      </c>
      <c r="H11" s="21">
        <v>78000</v>
      </c>
      <c r="I11" s="21" t="s">
        <v>36</v>
      </c>
      <c r="J11" s="21" t="s">
        <v>37</v>
      </c>
      <c r="K11" s="21" t="s">
        <v>26</v>
      </c>
      <c r="L11" s="21" t="s">
        <v>27</v>
      </c>
      <c r="M11" s="21" t="s">
        <v>28</v>
      </c>
      <c r="N11" s="21" t="s">
        <v>114</v>
      </c>
      <c r="O11" s="24">
        <v>45302</v>
      </c>
      <c r="P11" s="21" t="s">
        <v>30</v>
      </c>
      <c r="Q11" s="21" t="s">
        <v>503</v>
      </c>
      <c r="R11" s="21" t="str">
        <f t="shared" si="0"/>
        <v>-</v>
      </c>
      <c r="S11" s="23" t="str">
        <f t="shared" si="1"/>
        <v>-</v>
      </c>
      <c r="T11" s="21" t="str">
        <f t="shared" si="2"/>
        <v>Matched</v>
      </c>
      <c r="U11" s="2" t="str">
        <f>IF(COUNTIFS($B$2:B11,B11,$F$2:F11,F11,$H$2:H11,H11)&gt;1,"DUPLICATE","OK")</f>
        <v>DUPLICATE</v>
      </c>
    </row>
    <row r="12" spans="1:21" x14ac:dyDescent="0.35">
      <c r="A12" s="21" t="s">
        <v>63</v>
      </c>
      <c r="B12" s="21" t="s">
        <v>32</v>
      </c>
      <c r="C12" s="21" t="s">
        <v>40</v>
      </c>
      <c r="D12" s="22">
        <v>45299</v>
      </c>
      <c r="E12" s="22" t="s">
        <v>688</v>
      </c>
      <c r="F12" s="21" t="s">
        <v>64</v>
      </c>
      <c r="G12" s="21" t="s">
        <v>65</v>
      </c>
      <c r="H12" s="21">
        <v>145000</v>
      </c>
      <c r="I12" s="21" t="s">
        <v>36</v>
      </c>
      <c r="J12" s="21" t="s">
        <v>37</v>
      </c>
      <c r="K12" s="21" t="s">
        <v>26</v>
      </c>
      <c r="L12" s="21" t="s">
        <v>27</v>
      </c>
      <c r="M12" s="21" t="s">
        <v>45</v>
      </c>
      <c r="N12" s="21" t="s">
        <v>29</v>
      </c>
      <c r="O12" s="24">
        <v>45306</v>
      </c>
      <c r="P12" s="24">
        <v>45305</v>
      </c>
      <c r="Q12" s="21" t="s">
        <v>30</v>
      </c>
      <c r="R12" s="21">
        <f t="shared" si="0"/>
        <v>6</v>
      </c>
      <c r="S12" s="23" t="str">
        <f t="shared" si="1"/>
        <v>Yes</v>
      </c>
      <c r="T12" s="21" t="str">
        <f t="shared" si="2"/>
        <v>Matched</v>
      </c>
      <c r="U12" s="2" t="str">
        <f>IF(COUNTIFS($B$2:B12,B12,$F$2:F12,F12,$H$2:H12,H12)&gt;1,"DUPLICATE","OK")</f>
        <v>OK</v>
      </c>
    </row>
    <row r="13" spans="1:21" x14ac:dyDescent="0.35">
      <c r="A13" s="21" t="s">
        <v>510</v>
      </c>
      <c r="B13" s="21" t="s">
        <v>32</v>
      </c>
      <c r="C13" s="21" t="s">
        <v>40</v>
      </c>
      <c r="D13" s="22">
        <v>45300</v>
      </c>
      <c r="E13" s="22" t="s">
        <v>688</v>
      </c>
      <c r="F13" s="21" t="s">
        <v>64</v>
      </c>
      <c r="G13" s="21" t="s">
        <v>65</v>
      </c>
      <c r="H13" s="21">
        <v>145000</v>
      </c>
      <c r="I13" s="21" t="s">
        <v>36</v>
      </c>
      <c r="J13" s="21" t="s">
        <v>37</v>
      </c>
      <c r="K13" s="21" t="s">
        <v>26</v>
      </c>
      <c r="L13" s="21" t="s">
        <v>27</v>
      </c>
      <c r="M13" s="21" t="s">
        <v>45</v>
      </c>
      <c r="N13" s="21" t="s">
        <v>114</v>
      </c>
      <c r="O13" s="24">
        <v>45307</v>
      </c>
      <c r="P13" s="21" t="s">
        <v>30</v>
      </c>
      <c r="Q13" s="21" t="s">
        <v>511</v>
      </c>
      <c r="R13" s="21" t="str">
        <f t="shared" si="0"/>
        <v>-</v>
      </c>
      <c r="S13" s="23" t="str">
        <f t="shared" si="1"/>
        <v>-</v>
      </c>
      <c r="T13" s="21" t="str">
        <f t="shared" si="2"/>
        <v>Matched</v>
      </c>
      <c r="U13" s="2" t="str">
        <f>IF(COUNTIFS($B$2:B13,B13,$F$2:F13,F13,$H$2:H13,H13)&gt;1,"DUPLICATE","OK")</f>
        <v>DUPLICATE</v>
      </c>
    </row>
    <row r="14" spans="1:21" x14ac:dyDescent="0.35">
      <c r="A14" s="21" t="s">
        <v>78</v>
      </c>
      <c r="B14" s="21" t="s">
        <v>32</v>
      </c>
      <c r="C14" s="21" t="s">
        <v>48</v>
      </c>
      <c r="D14" s="22">
        <v>45304</v>
      </c>
      <c r="E14" s="22" t="s">
        <v>688</v>
      </c>
      <c r="F14" s="21" t="s">
        <v>79</v>
      </c>
      <c r="G14" s="21" t="s">
        <v>80</v>
      </c>
      <c r="H14" s="21">
        <v>89000</v>
      </c>
      <c r="I14" s="21" t="s">
        <v>36</v>
      </c>
      <c r="J14" s="21" t="s">
        <v>37</v>
      </c>
      <c r="K14" s="21" t="s">
        <v>26</v>
      </c>
      <c r="L14" s="21" t="s">
        <v>27</v>
      </c>
      <c r="M14" s="21" t="s">
        <v>28</v>
      </c>
      <c r="N14" s="21" t="s">
        <v>29</v>
      </c>
      <c r="O14" s="24">
        <v>45311</v>
      </c>
      <c r="P14" s="24">
        <v>45311</v>
      </c>
      <c r="Q14" s="21" t="s">
        <v>30</v>
      </c>
      <c r="R14" s="21">
        <f t="shared" si="0"/>
        <v>7</v>
      </c>
      <c r="S14" s="23" t="str">
        <f t="shared" si="1"/>
        <v>Yes</v>
      </c>
      <c r="T14" s="21" t="str">
        <f t="shared" si="2"/>
        <v>Matched</v>
      </c>
      <c r="U14" s="2" t="str">
        <f>IF(COUNTIFS($B$2:B14,B14,$F$2:F14,F14,$H$2:H14,H14)&gt;1,"DUPLICATE","OK")</f>
        <v>OK</v>
      </c>
    </row>
    <row r="15" spans="1:21" x14ac:dyDescent="0.35">
      <c r="A15" s="21" t="s">
        <v>93</v>
      </c>
      <c r="B15" s="21" t="s">
        <v>32</v>
      </c>
      <c r="C15" s="21" t="s">
        <v>21</v>
      </c>
      <c r="D15" s="22">
        <v>45309</v>
      </c>
      <c r="E15" s="22" t="s">
        <v>688</v>
      </c>
      <c r="F15" s="21" t="s">
        <v>94</v>
      </c>
      <c r="G15" s="21" t="s">
        <v>95</v>
      </c>
      <c r="H15" s="21">
        <v>165000</v>
      </c>
      <c r="I15" s="21" t="s">
        <v>36</v>
      </c>
      <c r="J15" s="21" t="s">
        <v>37</v>
      </c>
      <c r="K15" s="21" t="s">
        <v>26</v>
      </c>
      <c r="L15" s="21" t="s">
        <v>27</v>
      </c>
      <c r="M15" s="21" t="s">
        <v>28</v>
      </c>
      <c r="N15" s="21" t="s">
        <v>29</v>
      </c>
      <c r="O15" s="24">
        <v>45316</v>
      </c>
      <c r="P15" s="24">
        <v>45316</v>
      </c>
      <c r="Q15" s="21" t="s">
        <v>30</v>
      </c>
      <c r="R15" s="21">
        <f t="shared" si="0"/>
        <v>7</v>
      </c>
      <c r="S15" s="23" t="str">
        <f t="shared" si="1"/>
        <v>Yes</v>
      </c>
      <c r="T15" s="21" t="str">
        <f t="shared" si="2"/>
        <v>Matched</v>
      </c>
      <c r="U15" s="2" t="str">
        <f>IF(COUNTIFS($B$2:B15,B15,$F$2:F15,F15,$H$2:H15,H15)&gt;1,"DUPLICATE","OK")</f>
        <v>OK</v>
      </c>
    </row>
    <row r="16" spans="1:21" x14ac:dyDescent="0.35">
      <c r="A16" s="21" t="s">
        <v>110</v>
      </c>
      <c r="B16" s="21" t="s">
        <v>32</v>
      </c>
      <c r="C16" s="21" t="s">
        <v>33</v>
      </c>
      <c r="D16" s="22">
        <v>45314</v>
      </c>
      <c r="E16" s="22" t="s">
        <v>688</v>
      </c>
      <c r="F16" s="21" t="s">
        <v>111</v>
      </c>
      <c r="G16" s="21" t="s">
        <v>112</v>
      </c>
      <c r="H16" s="21">
        <v>43000</v>
      </c>
      <c r="I16" s="21" t="s">
        <v>36</v>
      </c>
      <c r="J16" s="21" t="s">
        <v>37</v>
      </c>
      <c r="K16" s="21" t="s">
        <v>26</v>
      </c>
      <c r="L16" s="21" t="s">
        <v>113</v>
      </c>
      <c r="M16" s="21" t="s">
        <v>45</v>
      </c>
      <c r="N16" s="21" t="s">
        <v>114</v>
      </c>
      <c r="O16" s="24">
        <v>45321</v>
      </c>
      <c r="P16" s="21" t="s">
        <v>30</v>
      </c>
      <c r="Q16" s="21" t="s">
        <v>115</v>
      </c>
      <c r="R16" s="21" t="str">
        <f t="shared" si="0"/>
        <v>-</v>
      </c>
      <c r="S16" s="23" t="str">
        <f t="shared" si="1"/>
        <v>-</v>
      </c>
      <c r="T16" s="21" t="str">
        <f t="shared" si="2"/>
        <v>Matched</v>
      </c>
      <c r="U16" s="2" t="str">
        <f>IF(COUNTIFS($B$2:B16,B16,$F$2:F16,F16,$H$2:H16,H16)&gt;1,"DUPLICATE","OK")</f>
        <v>OK</v>
      </c>
    </row>
    <row r="17" spans="1:21" x14ac:dyDescent="0.35">
      <c r="A17" s="21" t="s">
        <v>128</v>
      </c>
      <c r="B17" s="21" t="s">
        <v>32</v>
      </c>
      <c r="C17" s="21" t="s">
        <v>40</v>
      </c>
      <c r="D17" s="22">
        <v>45319</v>
      </c>
      <c r="E17" s="22" t="s">
        <v>688</v>
      </c>
      <c r="F17" s="21" t="s">
        <v>129</v>
      </c>
      <c r="G17" s="21" t="s">
        <v>130</v>
      </c>
      <c r="H17" s="21">
        <v>91000</v>
      </c>
      <c r="I17" s="21" t="s">
        <v>36</v>
      </c>
      <c r="J17" s="21" t="s">
        <v>37</v>
      </c>
      <c r="K17" s="21" t="s">
        <v>26</v>
      </c>
      <c r="L17" s="21" t="s">
        <v>27</v>
      </c>
      <c r="M17" s="21" t="s">
        <v>28</v>
      </c>
      <c r="N17" s="21" t="s">
        <v>29</v>
      </c>
      <c r="O17" s="24">
        <v>45326</v>
      </c>
      <c r="P17" s="24">
        <v>45326</v>
      </c>
      <c r="Q17" s="21" t="s">
        <v>30</v>
      </c>
      <c r="R17" s="21">
        <f t="shared" si="0"/>
        <v>7</v>
      </c>
      <c r="S17" s="23" t="str">
        <f t="shared" si="1"/>
        <v>Yes</v>
      </c>
      <c r="T17" s="21" t="str">
        <f t="shared" si="2"/>
        <v>Matched</v>
      </c>
      <c r="U17" s="2" t="str">
        <f>IF(COUNTIFS($B$2:B17,B17,$F$2:F17,F17,$H$2:H17,H17)&gt;1,"DUPLICATE","OK")</f>
        <v>OK</v>
      </c>
    </row>
    <row r="18" spans="1:21" x14ac:dyDescent="0.35">
      <c r="A18" s="21" t="s">
        <v>19</v>
      </c>
      <c r="B18" s="21" t="s">
        <v>20</v>
      </c>
      <c r="C18" s="21" t="s">
        <v>21</v>
      </c>
      <c r="D18" s="22">
        <v>45293</v>
      </c>
      <c r="E18" s="22" t="s">
        <v>688</v>
      </c>
      <c r="F18" s="21" t="s">
        <v>22</v>
      </c>
      <c r="G18" s="21" t="s">
        <v>23</v>
      </c>
      <c r="H18" s="21">
        <v>45000</v>
      </c>
      <c r="I18" s="21" t="s">
        <v>24</v>
      </c>
      <c r="J18" s="21" t="s">
        <v>25</v>
      </c>
      <c r="K18" s="21" t="s">
        <v>26</v>
      </c>
      <c r="L18" s="21" t="s">
        <v>27</v>
      </c>
      <c r="M18" s="21" t="s">
        <v>28</v>
      </c>
      <c r="N18" s="21" t="s">
        <v>29</v>
      </c>
      <c r="O18" s="24">
        <v>45300</v>
      </c>
      <c r="P18" s="24">
        <v>45299</v>
      </c>
      <c r="Q18" s="21" t="s">
        <v>30</v>
      </c>
      <c r="R18" s="21">
        <f t="shared" si="0"/>
        <v>6</v>
      </c>
      <c r="S18" s="23" t="str">
        <f t="shared" si="1"/>
        <v>Yes</v>
      </c>
      <c r="T18" s="21" t="str">
        <f t="shared" si="2"/>
        <v>Matched</v>
      </c>
      <c r="U18" s="2" t="str">
        <f>IF(COUNTIFS($B$2:B18,B18,$F$2:F18,F18,$H$2:H18,H18)&gt;1,"DUPLICATE","OK")</f>
        <v>OK</v>
      </c>
    </row>
    <row r="19" spans="1:21" x14ac:dyDescent="0.35">
      <c r="A19" s="21" t="s">
        <v>500</v>
      </c>
      <c r="B19" s="21" t="s">
        <v>20</v>
      </c>
      <c r="C19" s="21" t="s">
        <v>21</v>
      </c>
      <c r="D19" s="22">
        <v>45294</v>
      </c>
      <c r="E19" s="22" t="s">
        <v>688</v>
      </c>
      <c r="F19" s="21" t="s">
        <v>22</v>
      </c>
      <c r="G19" s="21" t="s">
        <v>23</v>
      </c>
      <c r="H19" s="21">
        <v>45000</v>
      </c>
      <c r="I19" s="21" t="s">
        <v>24</v>
      </c>
      <c r="J19" s="21" t="s">
        <v>25</v>
      </c>
      <c r="K19" s="21" t="s">
        <v>26</v>
      </c>
      <c r="L19" s="21" t="s">
        <v>27</v>
      </c>
      <c r="M19" s="21" t="s">
        <v>28</v>
      </c>
      <c r="N19" s="21" t="s">
        <v>114</v>
      </c>
      <c r="O19" s="24">
        <v>45301</v>
      </c>
      <c r="P19" s="21" t="s">
        <v>30</v>
      </c>
      <c r="Q19" s="21" t="s">
        <v>501</v>
      </c>
      <c r="R19" s="21" t="str">
        <f t="shared" si="0"/>
        <v>-</v>
      </c>
      <c r="S19" s="23" t="str">
        <f t="shared" si="1"/>
        <v>-</v>
      </c>
      <c r="T19" s="21" t="str">
        <f t="shared" si="2"/>
        <v>Matched</v>
      </c>
      <c r="U19" s="2" t="str">
        <f>IF(COUNTIFS($B$2:B19,B19,$F$2:F19,F19,$H$2:H19,H19)&gt;1,"DUPLICATE","OK")</f>
        <v>DUPLICATE</v>
      </c>
    </row>
    <row r="20" spans="1:21" x14ac:dyDescent="0.35">
      <c r="A20" s="21" t="s">
        <v>59</v>
      </c>
      <c r="B20" s="21" t="s">
        <v>20</v>
      </c>
      <c r="C20" s="21" t="s">
        <v>33</v>
      </c>
      <c r="D20" s="22">
        <v>45298</v>
      </c>
      <c r="E20" s="22" t="s">
        <v>688</v>
      </c>
      <c r="F20" s="21" t="s">
        <v>60</v>
      </c>
      <c r="G20" s="21" t="s">
        <v>61</v>
      </c>
      <c r="H20" s="21">
        <v>23000</v>
      </c>
      <c r="I20" s="21" t="s">
        <v>24</v>
      </c>
      <c r="J20" s="21" t="s">
        <v>25</v>
      </c>
      <c r="K20" s="21" t="s">
        <v>26</v>
      </c>
      <c r="L20" s="21" t="s">
        <v>27</v>
      </c>
      <c r="M20" s="21" t="s">
        <v>62</v>
      </c>
      <c r="N20" s="21" t="s">
        <v>29</v>
      </c>
      <c r="O20" s="24">
        <v>45305</v>
      </c>
      <c r="P20" s="24">
        <v>45305</v>
      </c>
      <c r="Q20" s="21" t="s">
        <v>30</v>
      </c>
      <c r="R20" s="21">
        <f t="shared" si="0"/>
        <v>7</v>
      </c>
      <c r="S20" s="23" t="str">
        <f t="shared" si="1"/>
        <v>Yes</v>
      </c>
      <c r="T20" s="21" t="str">
        <f t="shared" si="2"/>
        <v>Matched</v>
      </c>
      <c r="U20" s="2" t="str">
        <f>IF(COUNTIFS($B$2:B20,B20,$F$2:F20,F20,$H$2:H20,H20)&gt;1,"DUPLICATE","OK")</f>
        <v>OK</v>
      </c>
    </row>
    <row r="21" spans="1:21" x14ac:dyDescent="0.35">
      <c r="A21" s="21" t="s">
        <v>509</v>
      </c>
      <c r="B21" s="21" t="s">
        <v>20</v>
      </c>
      <c r="C21" s="21" t="s">
        <v>33</v>
      </c>
      <c r="D21" s="22">
        <v>45299</v>
      </c>
      <c r="E21" s="22" t="s">
        <v>688</v>
      </c>
      <c r="F21" s="21" t="s">
        <v>60</v>
      </c>
      <c r="G21" s="21" t="s">
        <v>61</v>
      </c>
      <c r="H21" s="21">
        <v>23000</v>
      </c>
      <c r="I21" s="21" t="s">
        <v>24</v>
      </c>
      <c r="J21" s="21" t="s">
        <v>25</v>
      </c>
      <c r="K21" s="21" t="s">
        <v>26</v>
      </c>
      <c r="L21" s="21" t="s">
        <v>27</v>
      </c>
      <c r="M21" s="21" t="s">
        <v>62</v>
      </c>
      <c r="N21" s="21" t="s">
        <v>114</v>
      </c>
      <c r="O21" s="24">
        <v>45306</v>
      </c>
      <c r="P21" s="21" t="s">
        <v>30</v>
      </c>
      <c r="Q21" s="21" t="s">
        <v>505</v>
      </c>
      <c r="R21" s="21" t="str">
        <f t="shared" si="0"/>
        <v>-</v>
      </c>
      <c r="S21" s="23" t="str">
        <f t="shared" si="1"/>
        <v>-</v>
      </c>
      <c r="T21" s="21" t="str">
        <f t="shared" si="2"/>
        <v>Matched</v>
      </c>
      <c r="U21" s="2" t="str">
        <f>IF(COUNTIFS($B$2:B21,B21,$F$2:F21,F21,$H$2:H21,H21)&gt;1,"DUPLICATE","OK")</f>
        <v>DUPLICATE</v>
      </c>
    </row>
    <row r="22" spans="1:21" x14ac:dyDescent="0.35">
      <c r="A22" s="21" t="s">
        <v>75</v>
      </c>
      <c r="B22" s="21" t="s">
        <v>20</v>
      </c>
      <c r="C22" s="21" t="s">
        <v>40</v>
      </c>
      <c r="D22" s="22">
        <v>45303</v>
      </c>
      <c r="E22" s="22" t="s">
        <v>688</v>
      </c>
      <c r="F22" s="21" t="s">
        <v>76</v>
      </c>
      <c r="G22" s="21" t="s">
        <v>77</v>
      </c>
      <c r="H22" s="21">
        <v>54000</v>
      </c>
      <c r="I22" s="21" t="s">
        <v>24</v>
      </c>
      <c r="J22" s="21" t="s">
        <v>25</v>
      </c>
      <c r="K22" s="21" t="s">
        <v>26</v>
      </c>
      <c r="L22" s="21" t="s">
        <v>27</v>
      </c>
      <c r="M22" s="21" t="s">
        <v>28</v>
      </c>
      <c r="N22" s="21" t="s">
        <v>29</v>
      </c>
      <c r="O22" s="24">
        <v>45310</v>
      </c>
      <c r="P22" s="24">
        <v>45310</v>
      </c>
      <c r="Q22" s="21" t="s">
        <v>30</v>
      </c>
      <c r="R22" s="21">
        <f t="shared" si="0"/>
        <v>7</v>
      </c>
      <c r="S22" s="23" t="str">
        <f t="shared" si="1"/>
        <v>Yes</v>
      </c>
      <c r="T22" s="21" t="str">
        <f t="shared" si="2"/>
        <v>Matched</v>
      </c>
      <c r="U22" s="2" t="str">
        <f>IF(COUNTIFS($B$2:B22,B22,$F$2:F22,F22,$H$2:H22,H22)&gt;1,"DUPLICATE","OK")</f>
        <v>OK</v>
      </c>
    </row>
    <row r="23" spans="1:21" x14ac:dyDescent="0.35">
      <c r="A23" s="21" t="s">
        <v>90</v>
      </c>
      <c r="B23" s="21" t="s">
        <v>20</v>
      </c>
      <c r="C23" s="21" t="s">
        <v>48</v>
      </c>
      <c r="D23" s="22">
        <v>45308</v>
      </c>
      <c r="E23" s="22" t="s">
        <v>688</v>
      </c>
      <c r="F23" s="21" t="s">
        <v>91</v>
      </c>
      <c r="G23" s="21" t="s">
        <v>92</v>
      </c>
      <c r="H23" s="21">
        <v>29000</v>
      </c>
      <c r="I23" s="21" t="s">
        <v>24</v>
      </c>
      <c r="J23" s="21" t="s">
        <v>25</v>
      </c>
      <c r="K23" s="21" t="s">
        <v>26</v>
      </c>
      <c r="L23" s="21" t="s">
        <v>27</v>
      </c>
      <c r="M23" s="21" t="s">
        <v>62</v>
      </c>
      <c r="N23" s="21" t="s">
        <v>29</v>
      </c>
      <c r="O23" s="24">
        <v>45315</v>
      </c>
      <c r="P23" s="24">
        <v>45315</v>
      </c>
      <c r="Q23" s="21" t="s">
        <v>30</v>
      </c>
      <c r="R23" s="21">
        <f t="shared" si="0"/>
        <v>7</v>
      </c>
      <c r="S23" s="23" t="str">
        <f t="shared" si="1"/>
        <v>Yes</v>
      </c>
      <c r="T23" s="21" t="str">
        <f t="shared" si="2"/>
        <v>Matched</v>
      </c>
      <c r="U23" s="2" t="str">
        <f>IF(COUNTIFS($B$2:B23,B23,$F$2:F23,F23,$H$2:H23,H23)&gt;1,"DUPLICATE","OK")</f>
        <v>OK</v>
      </c>
    </row>
    <row r="24" spans="1:21" x14ac:dyDescent="0.35">
      <c r="A24" s="21" t="s">
        <v>105</v>
      </c>
      <c r="B24" s="21" t="s">
        <v>20</v>
      </c>
      <c r="C24" s="21" t="s">
        <v>21</v>
      </c>
      <c r="D24" s="22">
        <v>45313</v>
      </c>
      <c r="E24" s="22" t="s">
        <v>688</v>
      </c>
      <c r="F24" s="21" t="s">
        <v>106</v>
      </c>
      <c r="G24" s="21" t="s">
        <v>107</v>
      </c>
      <c r="H24" s="21">
        <v>61000</v>
      </c>
      <c r="I24" s="21" t="s">
        <v>24</v>
      </c>
      <c r="J24" s="21" t="s">
        <v>25</v>
      </c>
      <c r="K24" s="21" t="s">
        <v>26</v>
      </c>
      <c r="L24" s="21" t="s">
        <v>27</v>
      </c>
      <c r="M24" s="21" t="s">
        <v>28</v>
      </c>
      <c r="N24" s="21" t="s">
        <v>108</v>
      </c>
      <c r="O24" s="24">
        <v>45320</v>
      </c>
      <c r="P24" s="21" t="s">
        <v>30</v>
      </c>
      <c r="Q24" s="21" t="s">
        <v>109</v>
      </c>
      <c r="R24" s="21" t="str">
        <f t="shared" si="0"/>
        <v>-</v>
      </c>
      <c r="S24" s="23" t="str">
        <f t="shared" si="1"/>
        <v>-</v>
      </c>
      <c r="T24" s="21" t="str">
        <f t="shared" si="2"/>
        <v>Matched</v>
      </c>
      <c r="U24" s="2" t="str">
        <f>IF(COUNTIFS($B$2:B24,B24,$F$2:F24,F24,$H$2:H24,H24)&gt;1,"DUPLICATE","OK")</f>
        <v>OK</v>
      </c>
    </row>
    <row r="25" spans="1:21" x14ac:dyDescent="0.35">
      <c r="A25" s="21" t="s">
        <v>125</v>
      </c>
      <c r="B25" s="21" t="s">
        <v>20</v>
      </c>
      <c r="C25" s="21" t="s">
        <v>33</v>
      </c>
      <c r="D25" s="22">
        <v>45318</v>
      </c>
      <c r="E25" s="22" t="s">
        <v>688</v>
      </c>
      <c r="F25" s="21" t="s">
        <v>126</v>
      </c>
      <c r="G25" s="21" t="s">
        <v>127</v>
      </c>
      <c r="H25" s="21">
        <v>48000</v>
      </c>
      <c r="I25" s="21" t="s">
        <v>24</v>
      </c>
      <c r="J25" s="21" t="s">
        <v>25</v>
      </c>
      <c r="K25" s="21" t="s">
        <v>26</v>
      </c>
      <c r="L25" s="21" t="s">
        <v>27</v>
      </c>
      <c r="M25" s="21" t="s">
        <v>28</v>
      </c>
      <c r="N25" s="21" t="s">
        <v>29</v>
      </c>
      <c r="O25" s="24">
        <v>45325</v>
      </c>
      <c r="P25" s="24">
        <v>45325</v>
      </c>
      <c r="Q25" s="21" t="s">
        <v>30</v>
      </c>
      <c r="R25" s="21">
        <f t="shared" si="0"/>
        <v>7</v>
      </c>
      <c r="S25" s="23" t="str">
        <f t="shared" si="1"/>
        <v>Yes</v>
      </c>
      <c r="T25" s="21" t="str">
        <f t="shared" si="2"/>
        <v>Matched</v>
      </c>
      <c r="U25" s="2" t="str">
        <f>IF(COUNTIFS($B$2:B25,B25,$F$2:F25,F25,$H$2:H25,H25)&gt;1,"DUPLICATE","OK")</f>
        <v>OK</v>
      </c>
    </row>
    <row r="26" spans="1:21" x14ac:dyDescent="0.35">
      <c r="A26" s="21" t="s">
        <v>53</v>
      </c>
      <c r="B26" s="21" t="s">
        <v>54</v>
      </c>
      <c r="C26" s="21" t="s">
        <v>21</v>
      </c>
      <c r="D26" s="22">
        <v>45297</v>
      </c>
      <c r="E26" s="22" t="s">
        <v>688</v>
      </c>
      <c r="F26" s="21" t="s">
        <v>55</v>
      </c>
      <c r="G26" s="21" t="s">
        <v>56</v>
      </c>
      <c r="H26" s="21">
        <v>92000</v>
      </c>
      <c r="I26" s="21" t="s">
        <v>57</v>
      </c>
      <c r="J26" s="21" t="s">
        <v>58</v>
      </c>
      <c r="K26" s="21" t="s">
        <v>26</v>
      </c>
      <c r="L26" s="21" t="s">
        <v>27</v>
      </c>
      <c r="M26" s="21" t="s">
        <v>28</v>
      </c>
      <c r="N26" s="21" t="s">
        <v>29</v>
      </c>
      <c r="O26" s="24">
        <v>45304</v>
      </c>
      <c r="P26" s="24">
        <v>45304</v>
      </c>
      <c r="Q26" s="21" t="s">
        <v>30</v>
      </c>
      <c r="R26" s="21">
        <f t="shared" si="0"/>
        <v>7</v>
      </c>
      <c r="S26" s="23" t="str">
        <f t="shared" si="1"/>
        <v>Yes</v>
      </c>
      <c r="T26" s="21" t="str">
        <f t="shared" si="2"/>
        <v>Matched</v>
      </c>
      <c r="U26" s="2" t="str">
        <f>IF(COUNTIFS($B$2:B26,B26,$F$2:F26,F26,$H$2:H26,H26)&gt;1,"DUPLICATE","OK")</f>
        <v>OK</v>
      </c>
    </row>
    <row r="27" spans="1:21" x14ac:dyDescent="0.35">
      <c r="A27" s="21" t="s">
        <v>507</v>
      </c>
      <c r="B27" s="21" t="s">
        <v>54</v>
      </c>
      <c r="C27" s="21" t="s">
        <v>21</v>
      </c>
      <c r="D27" s="22">
        <v>45298</v>
      </c>
      <c r="E27" s="22" t="s">
        <v>688</v>
      </c>
      <c r="F27" s="21" t="s">
        <v>55</v>
      </c>
      <c r="G27" s="21" t="s">
        <v>56</v>
      </c>
      <c r="H27" s="21">
        <v>92000</v>
      </c>
      <c r="I27" s="21" t="s">
        <v>57</v>
      </c>
      <c r="J27" s="21" t="s">
        <v>58</v>
      </c>
      <c r="K27" s="21" t="s">
        <v>26</v>
      </c>
      <c r="L27" s="21" t="s">
        <v>27</v>
      </c>
      <c r="M27" s="21" t="s">
        <v>45</v>
      </c>
      <c r="N27" s="21" t="s">
        <v>114</v>
      </c>
      <c r="O27" s="24">
        <v>45305</v>
      </c>
      <c r="P27" s="21" t="s">
        <v>30</v>
      </c>
      <c r="Q27" s="21" t="s">
        <v>508</v>
      </c>
      <c r="R27" s="21" t="str">
        <f t="shared" si="0"/>
        <v>-</v>
      </c>
      <c r="S27" s="23" t="str">
        <f t="shared" si="1"/>
        <v>-</v>
      </c>
      <c r="T27" s="21" t="str">
        <f t="shared" si="2"/>
        <v>Matched</v>
      </c>
      <c r="U27" s="2" t="str">
        <f>IF(COUNTIFS($B$2:B27,B27,$F$2:F27,F27,$H$2:H27,H27)&gt;1,"DUPLICATE","OK")</f>
        <v>DUPLICATE</v>
      </c>
    </row>
    <row r="28" spans="1:21" x14ac:dyDescent="0.35">
      <c r="A28" s="21" t="s">
        <v>72</v>
      </c>
      <c r="B28" s="21" t="s">
        <v>54</v>
      </c>
      <c r="C28" s="21" t="s">
        <v>33</v>
      </c>
      <c r="D28" s="22">
        <v>45302</v>
      </c>
      <c r="E28" s="22" t="s">
        <v>688</v>
      </c>
      <c r="F28" s="21" t="s">
        <v>73</v>
      </c>
      <c r="G28" s="21" t="s">
        <v>74</v>
      </c>
      <c r="H28" s="21">
        <v>112000</v>
      </c>
      <c r="I28" s="21" t="s">
        <v>57</v>
      </c>
      <c r="J28" s="21" t="s">
        <v>58</v>
      </c>
      <c r="K28" s="21" t="s">
        <v>26</v>
      </c>
      <c r="L28" s="21" t="s">
        <v>27</v>
      </c>
      <c r="M28" s="21" t="s">
        <v>45</v>
      </c>
      <c r="N28" s="21" t="s">
        <v>29</v>
      </c>
      <c r="O28" s="24">
        <v>45309</v>
      </c>
      <c r="P28" s="24">
        <v>45308</v>
      </c>
      <c r="Q28" s="21" t="s">
        <v>30</v>
      </c>
      <c r="R28" s="21">
        <f t="shared" si="0"/>
        <v>6</v>
      </c>
      <c r="S28" s="23" t="str">
        <f t="shared" si="1"/>
        <v>Yes</v>
      </c>
      <c r="T28" s="21" t="str">
        <f t="shared" si="2"/>
        <v>Matched</v>
      </c>
      <c r="U28" s="2" t="str">
        <f>IF(COUNTIFS($B$2:B28,B28,$F$2:F28,F28,$H$2:H28,H28)&gt;1,"DUPLICATE","OK")</f>
        <v>OK</v>
      </c>
    </row>
    <row r="29" spans="1:21" x14ac:dyDescent="0.35">
      <c r="A29" s="21" t="s">
        <v>514</v>
      </c>
      <c r="B29" s="21" t="s">
        <v>54</v>
      </c>
      <c r="C29" s="21" t="s">
        <v>33</v>
      </c>
      <c r="D29" s="22">
        <v>45303</v>
      </c>
      <c r="E29" s="22" t="s">
        <v>688</v>
      </c>
      <c r="F29" s="21" t="s">
        <v>73</v>
      </c>
      <c r="G29" s="21" t="s">
        <v>74</v>
      </c>
      <c r="H29" s="21">
        <v>112000</v>
      </c>
      <c r="I29" s="21" t="s">
        <v>57</v>
      </c>
      <c r="J29" s="21" t="s">
        <v>58</v>
      </c>
      <c r="K29" s="21" t="s">
        <v>26</v>
      </c>
      <c r="L29" s="21" t="s">
        <v>27</v>
      </c>
      <c r="M29" s="21" t="s">
        <v>45</v>
      </c>
      <c r="N29" s="21" t="s">
        <v>114</v>
      </c>
      <c r="O29" s="24">
        <v>45310</v>
      </c>
      <c r="P29" s="21" t="s">
        <v>30</v>
      </c>
      <c r="Q29" s="21" t="s">
        <v>515</v>
      </c>
      <c r="R29" s="21" t="str">
        <f t="shared" si="0"/>
        <v>-</v>
      </c>
      <c r="S29" s="23" t="str">
        <f t="shared" si="1"/>
        <v>-</v>
      </c>
      <c r="T29" s="21" t="str">
        <f t="shared" si="2"/>
        <v>Matched</v>
      </c>
      <c r="U29" s="2" t="str">
        <f>IF(COUNTIFS($B$2:B29,B29,$F$2:F29,F29,$H$2:H29,H29)&gt;1,"DUPLICATE","OK")</f>
        <v>DUPLICATE</v>
      </c>
    </row>
    <row r="30" spans="1:21" x14ac:dyDescent="0.35">
      <c r="A30" s="21" t="s">
        <v>87</v>
      </c>
      <c r="B30" s="21" t="s">
        <v>54</v>
      </c>
      <c r="C30" s="21" t="s">
        <v>40</v>
      </c>
      <c r="D30" s="22">
        <v>45307</v>
      </c>
      <c r="E30" s="22" t="s">
        <v>688</v>
      </c>
      <c r="F30" s="21" t="s">
        <v>88</v>
      </c>
      <c r="G30" s="21" t="s">
        <v>89</v>
      </c>
      <c r="H30" s="21">
        <v>128000</v>
      </c>
      <c r="I30" s="21" t="s">
        <v>57</v>
      </c>
      <c r="J30" s="21" t="s">
        <v>58</v>
      </c>
      <c r="K30" s="21" t="s">
        <v>26</v>
      </c>
      <c r="L30" s="21" t="s">
        <v>27</v>
      </c>
      <c r="M30" s="21" t="s">
        <v>45</v>
      </c>
      <c r="N30" s="21" t="s">
        <v>29</v>
      </c>
      <c r="O30" s="24">
        <v>45314</v>
      </c>
      <c r="P30" s="24">
        <v>45313</v>
      </c>
      <c r="Q30" s="21" t="s">
        <v>30</v>
      </c>
      <c r="R30" s="21">
        <f t="shared" si="0"/>
        <v>6</v>
      </c>
      <c r="S30" s="23" t="str">
        <f t="shared" si="1"/>
        <v>Yes</v>
      </c>
      <c r="T30" s="21" t="str">
        <f t="shared" si="2"/>
        <v>Matched</v>
      </c>
      <c r="U30" s="2" t="str">
        <f>IF(COUNTIFS($B$2:B30,B30,$F$2:F30,F30,$H$2:H30,H30)&gt;1,"DUPLICATE","OK")</f>
        <v>OK</v>
      </c>
    </row>
    <row r="31" spans="1:21" x14ac:dyDescent="0.35">
      <c r="A31" s="21" t="s">
        <v>102</v>
      </c>
      <c r="B31" s="21" t="s">
        <v>54</v>
      </c>
      <c r="C31" s="21" t="s">
        <v>48</v>
      </c>
      <c r="D31" s="22">
        <v>45312</v>
      </c>
      <c r="E31" s="22" t="s">
        <v>688</v>
      </c>
      <c r="F31" s="21" t="s">
        <v>103</v>
      </c>
      <c r="G31" s="21" t="s">
        <v>104</v>
      </c>
      <c r="H31" s="21">
        <v>97000</v>
      </c>
      <c r="I31" s="21" t="s">
        <v>57</v>
      </c>
      <c r="J31" s="21" t="s">
        <v>58</v>
      </c>
      <c r="K31" s="21" t="s">
        <v>26</v>
      </c>
      <c r="L31" s="21" t="s">
        <v>27</v>
      </c>
      <c r="M31" s="21" t="s">
        <v>28</v>
      </c>
      <c r="N31" s="21" t="s">
        <v>29</v>
      </c>
      <c r="O31" s="24">
        <v>45319</v>
      </c>
      <c r="P31" s="24">
        <v>45319</v>
      </c>
      <c r="Q31" s="21" t="s">
        <v>30</v>
      </c>
      <c r="R31" s="21">
        <f t="shared" si="0"/>
        <v>7</v>
      </c>
      <c r="S31" s="23" t="str">
        <f t="shared" si="1"/>
        <v>Yes</v>
      </c>
      <c r="T31" s="21" t="str">
        <f t="shared" si="2"/>
        <v>Matched</v>
      </c>
      <c r="U31" s="2" t="str">
        <f>IF(COUNTIFS($B$2:B31,B31,$F$2:F31,F31,$H$2:H31,H31)&gt;1,"DUPLICATE","OK")</f>
        <v>OK</v>
      </c>
    </row>
    <row r="32" spans="1:21" x14ac:dyDescent="0.35">
      <c r="A32" s="21" t="s">
        <v>122</v>
      </c>
      <c r="B32" s="21" t="s">
        <v>54</v>
      </c>
      <c r="C32" s="21" t="s">
        <v>21</v>
      </c>
      <c r="D32" s="22">
        <v>45317</v>
      </c>
      <c r="E32" s="22" t="s">
        <v>688</v>
      </c>
      <c r="F32" s="21" t="s">
        <v>123</v>
      </c>
      <c r="G32" s="21" t="s">
        <v>124</v>
      </c>
      <c r="H32" s="21">
        <v>118000</v>
      </c>
      <c r="I32" s="21" t="s">
        <v>57</v>
      </c>
      <c r="J32" s="21" t="s">
        <v>58</v>
      </c>
      <c r="K32" s="21" t="s">
        <v>26</v>
      </c>
      <c r="L32" s="21" t="s">
        <v>27</v>
      </c>
      <c r="M32" s="21" t="s">
        <v>45</v>
      </c>
      <c r="N32" s="21" t="s">
        <v>108</v>
      </c>
      <c r="O32" s="24">
        <v>45324</v>
      </c>
      <c r="P32" s="21" t="s">
        <v>30</v>
      </c>
      <c r="Q32" s="21" t="s">
        <v>109</v>
      </c>
      <c r="R32" s="21" t="str">
        <f t="shared" si="0"/>
        <v>-</v>
      </c>
      <c r="S32" s="23" t="str">
        <f t="shared" si="1"/>
        <v>-</v>
      </c>
      <c r="T32" s="21" t="str">
        <f t="shared" si="2"/>
        <v>Matched</v>
      </c>
      <c r="U32" s="2" t="str">
        <f>IF(COUNTIFS($B$2:B32,B32,$F$2:F32,F32,$H$2:H32,H32)&gt;1,"DUPLICATE","OK")</f>
        <v>OK</v>
      </c>
    </row>
    <row r="33" spans="1:21" x14ac:dyDescent="0.35">
      <c r="A33" s="21" t="s">
        <v>137</v>
      </c>
      <c r="B33" s="21" t="s">
        <v>54</v>
      </c>
      <c r="C33" s="21" t="s">
        <v>33</v>
      </c>
      <c r="D33" s="22">
        <v>45322</v>
      </c>
      <c r="E33" s="22" t="s">
        <v>688</v>
      </c>
      <c r="F33" s="21" t="s">
        <v>138</v>
      </c>
      <c r="G33" s="21" t="s">
        <v>139</v>
      </c>
      <c r="H33" s="21">
        <v>134000</v>
      </c>
      <c r="I33" s="21" t="s">
        <v>57</v>
      </c>
      <c r="J33" s="21" t="s">
        <v>58</v>
      </c>
      <c r="K33" s="21" t="s">
        <v>26</v>
      </c>
      <c r="L33" s="21" t="s">
        <v>27</v>
      </c>
      <c r="M33" s="21" t="s">
        <v>45</v>
      </c>
      <c r="N33" s="21" t="s">
        <v>29</v>
      </c>
      <c r="O33" s="24">
        <v>45329</v>
      </c>
      <c r="P33" s="24">
        <v>45328</v>
      </c>
      <c r="Q33" s="21" t="s">
        <v>30</v>
      </c>
      <c r="R33" s="21">
        <f t="shared" si="0"/>
        <v>6</v>
      </c>
      <c r="S33" s="23" t="str">
        <f t="shared" si="1"/>
        <v>Yes</v>
      </c>
      <c r="T33" s="21" t="str">
        <f t="shared" si="2"/>
        <v>Matched</v>
      </c>
      <c r="U33" s="2" t="str">
        <f>IF(COUNTIFS($B$2:B33,B33,$F$2:F33,F33,$H$2:H33,H33)&gt;1,"DUPLICATE","OK")</f>
        <v>OK</v>
      </c>
    </row>
    <row r="34" spans="1:21" x14ac:dyDescent="0.35">
      <c r="A34" s="21" t="s">
        <v>46</v>
      </c>
      <c r="B34" s="21" t="s">
        <v>47</v>
      </c>
      <c r="C34" s="21" t="s">
        <v>48</v>
      </c>
      <c r="D34" s="22">
        <v>45296</v>
      </c>
      <c r="E34" s="22" t="s">
        <v>688</v>
      </c>
      <c r="F34" s="21" t="s">
        <v>49</v>
      </c>
      <c r="G34" s="21" t="s">
        <v>50</v>
      </c>
      <c r="H34" s="21">
        <v>56000</v>
      </c>
      <c r="I34" s="21" t="s">
        <v>51</v>
      </c>
      <c r="J34" s="21" t="s">
        <v>52</v>
      </c>
      <c r="K34" s="21" t="s">
        <v>26</v>
      </c>
      <c r="L34" s="21" t="s">
        <v>27</v>
      </c>
      <c r="M34" s="21" t="s">
        <v>28</v>
      </c>
      <c r="N34" s="21" t="s">
        <v>29</v>
      </c>
      <c r="O34" s="24">
        <v>45303</v>
      </c>
      <c r="P34" s="24">
        <v>45303</v>
      </c>
      <c r="Q34" s="21" t="s">
        <v>30</v>
      </c>
      <c r="R34" s="21">
        <f t="shared" ref="R34:R65" si="3">IF(P34="-","-",P34-D34)</f>
        <v>7</v>
      </c>
      <c r="S34" s="23" t="str">
        <f t="shared" ref="S34:S65" si="4">IF(R34="-","-",IF(R34&lt;=7,"Yes","No"))</f>
        <v>Yes</v>
      </c>
      <c r="T34" s="21" t="str">
        <f t="shared" ref="T34:T65" si="5">IF(AND(F34&lt;&gt;"MISSING",G34&lt;&gt;"MISSING"),"Matched","Mismatched")</f>
        <v>Matched</v>
      </c>
      <c r="U34" s="2" t="str">
        <f>IF(COUNTIFS($B$2:B34,B34,$F$2:F34,F34,$H$2:H34,H34)&gt;1,"DUPLICATE","OK")</f>
        <v>OK</v>
      </c>
    </row>
    <row r="35" spans="1:21" x14ac:dyDescent="0.35">
      <c r="A35" s="21" t="s">
        <v>506</v>
      </c>
      <c r="B35" s="21" t="s">
        <v>47</v>
      </c>
      <c r="C35" s="21" t="s">
        <v>48</v>
      </c>
      <c r="D35" s="22">
        <v>45297</v>
      </c>
      <c r="E35" s="22" t="s">
        <v>688</v>
      </c>
      <c r="F35" s="21" t="s">
        <v>49</v>
      </c>
      <c r="G35" s="21" t="s">
        <v>50</v>
      </c>
      <c r="H35" s="21">
        <v>56000</v>
      </c>
      <c r="I35" s="21" t="s">
        <v>51</v>
      </c>
      <c r="J35" s="21" t="s">
        <v>52</v>
      </c>
      <c r="K35" s="21" t="s">
        <v>26</v>
      </c>
      <c r="L35" s="21" t="s">
        <v>27</v>
      </c>
      <c r="M35" s="21" t="s">
        <v>28</v>
      </c>
      <c r="N35" s="21" t="s">
        <v>114</v>
      </c>
      <c r="O35" s="24">
        <v>45304</v>
      </c>
      <c r="P35" s="21" t="s">
        <v>30</v>
      </c>
      <c r="Q35" s="21" t="s">
        <v>505</v>
      </c>
      <c r="R35" s="21" t="str">
        <f t="shared" si="3"/>
        <v>-</v>
      </c>
      <c r="S35" s="23" t="str">
        <f t="shared" si="4"/>
        <v>-</v>
      </c>
      <c r="T35" s="21" t="str">
        <f t="shared" si="5"/>
        <v>Matched</v>
      </c>
      <c r="U35" s="2" t="str">
        <f>IF(COUNTIFS($B$2:B35,B35,$F$2:F35,F35,$H$2:H35,H35)&gt;1,"DUPLICATE","OK")</f>
        <v>DUPLICATE</v>
      </c>
    </row>
    <row r="36" spans="1:21" x14ac:dyDescent="0.35">
      <c r="A36" s="21" t="s">
        <v>69</v>
      </c>
      <c r="B36" s="21" t="s">
        <v>47</v>
      </c>
      <c r="C36" s="21" t="s">
        <v>21</v>
      </c>
      <c r="D36" s="22">
        <v>45301</v>
      </c>
      <c r="E36" s="22" t="s">
        <v>688</v>
      </c>
      <c r="F36" s="21" t="s">
        <v>70</v>
      </c>
      <c r="G36" s="21" t="s">
        <v>71</v>
      </c>
      <c r="H36" s="21">
        <v>38000</v>
      </c>
      <c r="I36" s="21" t="s">
        <v>51</v>
      </c>
      <c r="J36" s="21" t="s">
        <v>52</v>
      </c>
      <c r="K36" s="21" t="s">
        <v>26</v>
      </c>
      <c r="L36" s="21" t="s">
        <v>27</v>
      </c>
      <c r="M36" s="21" t="s">
        <v>28</v>
      </c>
      <c r="N36" s="21" t="s">
        <v>29</v>
      </c>
      <c r="O36" s="24">
        <v>45308</v>
      </c>
      <c r="P36" s="24">
        <v>45308</v>
      </c>
      <c r="Q36" s="21" t="s">
        <v>30</v>
      </c>
      <c r="R36" s="21">
        <f t="shared" si="3"/>
        <v>7</v>
      </c>
      <c r="S36" s="23" t="str">
        <f t="shared" si="4"/>
        <v>Yes</v>
      </c>
      <c r="T36" s="21" t="str">
        <f t="shared" si="5"/>
        <v>Matched</v>
      </c>
      <c r="U36" s="2" t="str">
        <f>IF(COUNTIFS($B$2:B36,B36,$F$2:F36,F36,$H$2:H36,H36)&gt;1,"DUPLICATE","OK")</f>
        <v>OK</v>
      </c>
    </row>
    <row r="37" spans="1:21" x14ac:dyDescent="0.35">
      <c r="A37" s="21" t="s">
        <v>513</v>
      </c>
      <c r="B37" s="21" t="s">
        <v>47</v>
      </c>
      <c r="C37" s="21" t="s">
        <v>21</v>
      </c>
      <c r="D37" s="22">
        <v>45302</v>
      </c>
      <c r="E37" s="22" t="s">
        <v>688</v>
      </c>
      <c r="F37" s="21" t="s">
        <v>70</v>
      </c>
      <c r="G37" s="21" t="s">
        <v>71</v>
      </c>
      <c r="H37" s="21">
        <v>38000</v>
      </c>
      <c r="I37" s="21" t="s">
        <v>51</v>
      </c>
      <c r="J37" s="21" t="s">
        <v>52</v>
      </c>
      <c r="K37" s="21" t="s">
        <v>26</v>
      </c>
      <c r="L37" s="21" t="s">
        <v>27</v>
      </c>
      <c r="M37" s="21" t="s">
        <v>28</v>
      </c>
      <c r="N37" s="21" t="s">
        <v>114</v>
      </c>
      <c r="O37" s="24">
        <v>45309</v>
      </c>
      <c r="P37" s="21" t="s">
        <v>30</v>
      </c>
      <c r="Q37" s="21" t="s">
        <v>505</v>
      </c>
      <c r="R37" s="21" t="str">
        <f t="shared" si="3"/>
        <v>-</v>
      </c>
      <c r="S37" s="23" t="str">
        <f t="shared" si="4"/>
        <v>-</v>
      </c>
      <c r="T37" s="21" t="str">
        <f t="shared" si="5"/>
        <v>Matched</v>
      </c>
      <c r="U37" s="2" t="str">
        <f>IF(COUNTIFS($B$2:B37,B37,$F$2:F37,F37,$H$2:H37,H37)&gt;1,"DUPLICATE","OK")</f>
        <v>DUPLICATE</v>
      </c>
    </row>
    <row r="38" spans="1:21" x14ac:dyDescent="0.35">
      <c r="A38" s="21" t="s">
        <v>84</v>
      </c>
      <c r="B38" s="21" t="s">
        <v>47</v>
      </c>
      <c r="C38" s="21" t="s">
        <v>33</v>
      </c>
      <c r="D38" s="22">
        <v>45306</v>
      </c>
      <c r="E38" s="22" t="s">
        <v>688</v>
      </c>
      <c r="F38" s="21" t="s">
        <v>85</v>
      </c>
      <c r="G38" s="21" t="s">
        <v>86</v>
      </c>
      <c r="H38" s="21">
        <v>73000</v>
      </c>
      <c r="I38" s="21" t="s">
        <v>51</v>
      </c>
      <c r="J38" s="21" t="s">
        <v>52</v>
      </c>
      <c r="K38" s="21" t="s">
        <v>26</v>
      </c>
      <c r="L38" s="21" t="s">
        <v>27</v>
      </c>
      <c r="M38" s="21" t="s">
        <v>28</v>
      </c>
      <c r="N38" s="21" t="s">
        <v>29</v>
      </c>
      <c r="O38" s="24">
        <v>45313</v>
      </c>
      <c r="P38" s="24">
        <v>45313</v>
      </c>
      <c r="Q38" s="21" t="s">
        <v>30</v>
      </c>
      <c r="R38" s="21">
        <f t="shared" si="3"/>
        <v>7</v>
      </c>
      <c r="S38" s="23" t="str">
        <f t="shared" si="4"/>
        <v>Yes</v>
      </c>
      <c r="T38" s="21" t="str">
        <f t="shared" si="5"/>
        <v>Matched</v>
      </c>
      <c r="U38" s="2" t="str">
        <f>IF(COUNTIFS($B$2:B38,B38,$F$2:F38,F38,$H$2:H38,H38)&gt;1,"DUPLICATE","OK")</f>
        <v>OK</v>
      </c>
    </row>
    <row r="39" spans="1:21" x14ac:dyDescent="0.35">
      <c r="A39" s="21" t="s">
        <v>99</v>
      </c>
      <c r="B39" s="21" t="s">
        <v>47</v>
      </c>
      <c r="C39" s="21" t="s">
        <v>40</v>
      </c>
      <c r="D39" s="22">
        <v>45311</v>
      </c>
      <c r="E39" s="22" t="s">
        <v>688</v>
      </c>
      <c r="F39" s="21" t="s">
        <v>100</v>
      </c>
      <c r="G39" s="21" t="s">
        <v>101</v>
      </c>
      <c r="H39" s="21">
        <v>84000</v>
      </c>
      <c r="I39" s="21" t="s">
        <v>51</v>
      </c>
      <c r="J39" s="21" t="s">
        <v>52</v>
      </c>
      <c r="K39" s="21" t="s">
        <v>26</v>
      </c>
      <c r="L39" s="21" t="s">
        <v>27</v>
      </c>
      <c r="M39" s="21" t="s">
        <v>45</v>
      </c>
      <c r="N39" s="21" t="s">
        <v>29</v>
      </c>
      <c r="O39" s="24">
        <v>45318</v>
      </c>
      <c r="P39" s="24">
        <v>45317</v>
      </c>
      <c r="Q39" s="21" t="s">
        <v>30</v>
      </c>
      <c r="R39" s="21">
        <f t="shared" si="3"/>
        <v>6</v>
      </c>
      <c r="S39" s="23" t="str">
        <f t="shared" si="4"/>
        <v>Yes</v>
      </c>
      <c r="T39" s="21" t="str">
        <f t="shared" si="5"/>
        <v>Matched</v>
      </c>
      <c r="U39" s="2" t="str">
        <f>IF(COUNTIFS($B$2:B39,B39,$F$2:F39,F39,$H$2:H39,H39)&gt;1,"DUPLICATE","OK")</f>
        <v>OK</v>
      </c>
    </row>
    <row r="40" spans="1:21" x14ac:dyDescent="0.35">
      <c r="A40" s="21" t="s">
        <v>119</v>
      </c>
      <c r="B40" s="21" t="s">
        <v>47</v>
      </c>
      <c r="C40" s="21" t="s">
        <v>48</v>
      </c>
      <c r="D40" s="22">
        <v>45316</v>
      </c>
      <c r="E40" s="22" t="s">
        <v>688</v>
      </c>
      <c r="F40" s="21" t="s">
        <v>120</v>
      </c>
      <c r="G40" s="21" t="s">
        <v>121</v>
      </c>
      <c r="H40" s="21">
        <v>35000</v>
      </c>
      <c r="I40" s="21" t="s">
        <v>51</v>
      </c>
      <c r="J40" s="21" t="s">
        <v>52</v>
      </c>
      <c r="K40" s="21" t="s">
        <v>26</v>
      </c>
      <c r="L40" s="21" t="s">
        <v>113</v>
      </c>
      <c r="M40" s="21" t="s">
        <v>62</v>
      </c>
      <c r="N40" s="21" t="s">
        <v>114</v>
      </c>
      <c r="O40" s="24">
        <v>45323</v>
      </c>
      <c r="P40" s="21" t="s">
        <v>30</v>
      </c>
      <c r="Q40" s="21" t="s">
        <v>115</v>
      </c>
      <c r="R40" s="21" t="str">
        <f t="shared" si="3"/>
        <v>-</v>
      </c>
      <c r="S40" s="23" t="str">
        <f t="shared" si="4"/>
        <v>-</v>
      </c>
      <c r="T40" s="21" t="str">
        <f t="shared" si="5"/>
        <v>Matched</v>
      </c>
      <c r="U40" s="2" t="str">
        <f>IF(COUNTIFS($B$2:B40,B40,$F$2:F40,F40,$H$2:H40,H40)&gt;1,"DUPLICATE","OK")</f>
        <v>OK</v>
      </c>
    </row>
    <row r="41" spans="1:21" x14ac:dyDescent="0.35">
      <c r="A41" s="21" t="s">
        <v>134</v>
      </c>
      <c r="B41" s="21" t="s">
        <v>47</v>
      </c>
      <c r="C41" s="21" t="s">
        <v>21</v>
      </c>
      <c r="D41" s="22">
        <v>45321</v>
      </c>
      <c r="E41" s="22" t="s">
        <v>688</v>
      </c>
      <c r="F41" s="21" t="s">
        <v>135</v>
      </c>
      <c r="G41" s="21" t="s">
        <v>136</v>
      </c>
      <c r="H41" s="21">
        <v>53000</v>
      </c>
      <c r="I41" s="21" t="s">
        <v>51</v>
      </c>
      <c r="J41" s="21" t="s">
        <v>52</v>
      </c>
      <c r="K41" s="21" t="s">
        <v>26</v>
      </c>
      <c r="L41" s="21" t="s">
        <v>27</v>
      </c>
      <c r="M41" s="21" t="s">
        <v>28</v>
      </c>
      <c r="N41" s="21" t="s">
        <v>29</v>
      </c>
      <c r="O41" s="24">
        <v>45328</v>
      </c>
      <c r="P41" s="24">
        <v>45328</v>
      </c>
      <c r="Q41" s="21" t="s">
        <v>30</v>
      </c>
      <c r="R41" s="21">
        <f t="shared" si="3"/>
        <v>7</v>
      </c>
      <c r="S41" s="23" t="str">
        <f t="shared" si="4"/>
        <v>Yes</v>
      </c>
      <c r="T41" s="21" t="str">
        <f t="shared" si="5"/>
        <v>Matched</v>
      </c>
      <c r="U41" s="2" t="str">
        <f>IF(COUNTIFS($B$2:B41,B41,$F$2:F41,F41,$H$2:H41,H41)&gt;1,"DUPLICATE","OK")</f>
        <v>OK</v>
      </c>
    </row>
    <row r="42" spans="1:21" x14ac:dyDescent="0.35">
      <c r="A42" s="21" t="s">
        <v>146</v>
      </c>
      <c r="B42" s="21" t="s">
        <v>39</v>
      </c>
      <c r="C42" s="21" t="s">
        <v>21</v>
      </c>
      <c r="D42" s="22">
        <v>45325</v>
      </c>
      <c r="E42" s="22" t="s">
        <v>689</v>
      </c>
      <c r="F42" s="21" t="s">
        <v>147</v>
      </c>
      <c r="G42" s="21" t="s">
        <v>148</v>
      </c>
      <c r="H42" s="21">
        <v>44000</v>
      </c>
      <c r="I42" s="21" t="s">
        <v>43</v>
      </c>
      <c r="J42" s="21" t="s">
        <v>44</v>
      </c>
      <c r="K42" s="21" t="s">
        <v>26</v>
      </c>
      <c r="L42" s="21" t="s">
        <v>27</v>
      </c>
      <c r="M42" s="21" t="s">
        <v>28</v>
      </c>
      <c r="N42" s="21" t="s">
        <v>29</v>
      </c>
      <c r="O42" s="24">
        <v>45332</v>
      </c>
      <c r="P42" s="24">
        <v>45332</v>
      </c>
      <c r="Q42" s="21" t="s">
        <v>30</v>
      </c>
      <c r="R42" s="21">
        <f t="shared" si="3"/>
        <v>7</v>
      </c>
      <c r="S42" s="23" t="str">
        <f t="shared" si="4"/>
        <v>Yes</v>
      </c>
      <c r="T42" s="21" t="str">
        <f t="shared" si="5"/>
        <v>Matched</v>
      </c>
      <c r="U42" s="2" t="str">
        <f>IF(COUNTIFS($B$2:B42,B42,$F$2:F42,F42,$H$2:H42,H42)&gt;1,"DUPLICATE","OK")</f>
        <v>OK</v>
      </c>
    </row>
    <row r="43" spans="1:21" x14ac:dyDescent="0.35">
      <c r="A43" s="21" t="s">
        <v>161</v>
      </c>
      <c r="B43" s="21" t="s">
        <v>39</v>
      </c>
      <c r="C43" s="21" t="s">
        <v>33</v>
      </c>
      <c r="D43" s="22">
        <v>45330</v>
      </c>
      <c r="E43" s="22" t="s">
        <v>689</v>
      </c>
      <c r="F43" s="21" t="s">
        <v>162</v>
      </c>
      <c r="G43" s="21" t="s">
        <v>163</v>
      </c>
      <c r="H43" s="21">
        <v>58000</v>
      </c>
      <c r="I43" s="21" t="s">
        <v>43</v>
      </c>
      <c r="J43" s="21" t="s">
        <v>44</v>
      </c>
      <c r="K43" s="21" t="s">
        <v>26</v>
      </c>
      <c r="L43" s="21" t="s">
        <v>27</v>
      </c>
      <c r="M43" s="21" t="s">
        <v>28</v>
      </c>
      <c r="N43" s="21" t="s">
        <v>29</v>
      </c>
      <c r="O43" s="24">
        <v>45337</v>
      </c>
      <c r="P43" s="24">
        <v>45337</v>
      </c>
      <c r="Q43" s="21" t="s">
        <v>30</v>
      </c>
      <c r="R43" s="21">
        <f t="shared" si="3"/>
        <v>7</v>
      </c>
      <c r="S43" s="23" t="str">
        <f t="shared" si="4"/>
        <v>Yes</v>
      </c>
      <c r="T43" s="21" t="str">
        <f t="shared" si="5"/>
        <v>Matched</v>
      </c>
      <c r="U43" s="2" t="str">
        <f>IF(COUNTIFS($B$2:B43,B43,$F$2:F43,F43,$H$2:H43,H43)&gt;1,"DUPLICATE","OK")</f>
        <v>OK</v>
      </c>
    </row>
    <row r="44" spans="1:21" x14ac:dyDescent="0.35">
      <c r="A44" s="21" t="s">
        <v>177</v>
      </c>
      <c r="B44" s="21" t="s">
        <v>39</v>
      </c>
      <c r="C44" s="21" t="s">
        <v>40</v>
      </c>
      <c r="D44" s="22">
        <v>45335</v>
      </c>
      <c r="E44" s="22" t="s">
        <v>689</v>
      </c>
      <c r="F44" s="21" t="s">
        <v>178</v>
      </c>
      <c r="G44" s="21" t="s">
        <v>179</v>
      </c>
      <c r="H44" s="21">
        <v>82000</v>
      </c>
      <c r="I44" s="21" t="s">
        <v>43</v>
      </c>
      <c r="J44" s="21" t="s">
        <v>44</v>
      </c>
      <c r="K44" s="21" t="s">
        <v>26</v>
      </c>
      <c r="L44" s="21" t="s">
        <v>27</v>
      </c>
      <c r="M44" s="21" t="s">
        <v>62</v>
      </c>
      <c r="N44" s="21" t="s">
        <v>29</v>
      </c>
      <c r="O44" s="24">
        <v>45342</v>
      </c>
      <c r="P44" s="24">
        <v>45343</v>
      </c>
      <c r="Q44" s="21" t="s">
        <v>180</v>
      </c>
      <c r="R44" s="21">
        <f t="shared" si="3"/>
        <v>8</v>
      </c>
      <c r="S44" s="23" t="str">
        <f t="shared" si="4"/>
        <v>No</v>
      </c>
      <c r="T44" s="21" t="str">
        <f t="shared" si="5"/>
        <v>Matched</v>
      </c>
      <c r="U44" s="2" t="str">
        <f>IF(COUNTIFS($B$2:B44,B44,$F$2:F44,F44,$H$2:H44,H44)&gt;1,"DUPLICATE","OK")</f>
        <v>OK</v>
      </c>
    </row>
    <row r="45" spans="1:21" x14ac:dyDescent="0.35">
      <c r="A45" s="21" t="s">
        <v>193</v>
      </c>
      <c r="B45" s="21" t="s">
        <v>39</v>
      </c>
      <c r="C45" s="21" t="s">
        <v>48</v>
      </c>
      <c r="D45" s="22">
        <v>45340</v>
      </c>
      <c r="E45" s="22" t="s">
        <v>689</v>
      </c>
      <c r="F45" s="21" t="s">
        <v>194</v>
      </c>
      <c r="G45" s="21" t="s">
        <v>195</v>
      </c>
      <c r="H45" s="21">
        <v>63000</v>
      </c>
      <c r="I45" s="21" t="s">
        <v>43</v>
      </c>
      <c r="J45" s="21" t="s">
        <v>44</v>
      </c>
      <c r="K45" s="21" t="s">
        <v>26</v>
      </c>
      <c r="L45" s="21" t="s">
        <v>27</v>
      </c>
      <c r="M45" s="21" t="s">
        <v>28</v>
      </c>
      <c r="N45" s="21" t="s">
        <v>29</v>
      </c>
      <c r="O45" s="24">
        <v>45347</v>
      </c>
      <c r="P45" s="24">
        <v>45347</v>
      </c>
      <c r="Q45" s="21" t="s">
        <v>30</v>
      </c>
      <c r="R45" s="21">
        <f t="shared" si="3"/>
        <v>7</v>
      </c>
      <c r="S45" s="23" t="str">
        <f t="shared" si="4"/>
        <v>Yes</v>
      </c>
      <c r="T45" s="21" t="str">
        <f t="shared" si="5"/>
        <v>Matched</v>
      </c>
      <c r="U45" s="2" t="str">
        <f>IF(COUNTIFS($B$2:B45,B45,$F$2:F45,F45,$H$2:H45,H45)&gt;1,"DUPLICATE","OK")</f>
        <v>OK</v>
      </c>
    </row>
    <row r="46" spans="1:21" x14ac:dyDescent="0.35">
      <c r="A46" s="21" t="s">
        <v>208</v>
      </c>
      <c r="B46" s="21" t="s">
        <v>39</v>
      </c>
      <c r="C46" s="21" t="s">
        <v>21</v>
      </c>
      <c r="D46" s="22">
        <v>45345</v>
      </c>
      <c r="E46" s="22" t="s">
        <v>689</v>
      </c>
      <c r="F46" s="21" t="s">
        <v>209</v>
      </c>
      <c r="G46" s="21" t="s">
        <v>210</v>
      </c>
      <c r="H46" s="21">
        <v>71000</v>
      </c>
      <c r="I46" s="21" t="s">
        <v>43</v>
      </c>
      <c r="J46" s="21" t="s">
        <v>44</v>
      </c>
      <c r="K46" s="21" t="s">
        <v>26</v>
      </c>
      <c r="L46" s="21" t="s">
        <v>27</v>
      </c>
      <c r="M46" s="21" t="s">
        <v>28</v>
      </c>
      <c r="N46" s="21" t="s">
        <v>29</v>
      </c>
      <c r="O46" s="24">
        <v>45352</v>
      </c>
      <c r="P46" s="24">
        <v>45352</v>
      </c>
      <c r="Q46" s="21" t="s">
        <v>30</v>
      </c>
      <c r="R46" s="21">
        <f t="shared" si="3"/>
        <v>7</v>
      </c>
      <c r="S46" s="23" t="str">
        <f t="shared" si="4"/>
        <v>Yes</v>
      </c>
      <c r="T46" s="21" t="str">
        <f t="shared" si="5"/>
        <v>Matched</v>
      </c>
      <c r="U46" s="2" t="str">
        <f>IF(COUNTIFS($B$2:B46,B46,$F$2:F46,F46,$H$2:H46,H46)&gt;1,"DUPLICATE","OK")</f>
        <v>OK</v>
      </c>
    </row>
    <row r="47" spans="1:21" x14ac:dyDescent="0.35">
      <c r="A47" s="21" t="s">
        <v>223</v>
      </c>
      <c r="B47" s="21" t="s">
        <v>39</v>
      </c>
      <c r="C47" s="21" t="s">
        <v>33</v>
      </c>
      <c r="D47" s="22">
        <v>45350</v>
      </c>
      <c r="E47" s="22" t="s">
        <v>689</v>
      </c>
      <c r="F47" s="21" t="s">
        <v>224</v>
      </c>
      <c r="G47" s="21" t="s">
        <v>225</v>
      </c>
      <c r="H47" s="21">
        <v>39000</v>
      </c>
      <c r="I47" s="21" t="s">
        <v>43</v>
      </c>
      <c r="J47" s="21" t="s">
        <v>44</v>
      </c>
      <c r="K47" s="21" t="s">
        <v>26</v>
      </c>
      <c r="L47" s="21" t="s">
        <v>27</v>
      </c>
      <c r="M47" s="21" t="s">
        <v>28</v>
      </c>
      <c r="N47" s="21" t="s">
        <v>29</v>
      </c>
      <c r="O47" s="24">
        <v>45357</v>
      </c>
      <c r="P47" s="24">
        <v>45359</v>
      </c>
      <c r="Q47" s="21" t="s">
        <v>173</v>
      </c>
      <c r="R47" s="21">
        <f t="shared" si="3"/>
        <v>9</v>
      </c>
      <c r="S47" s="23" t="str">
        <f t="shared" si="4"/>
        <v>No</v>
      </c>
      <c r="T47" s="21" t="str">
        <f t="shared" si="5"/>
        <v>Matched</v>
      </c>
      <c r="U47" s="2" t="str">
        <f>IF(COUNTIFS($B$2:B47,B47,$F$2:F47,F47,$H$2:H47,H47)&gt;1,"DUPLICATE","OK")</f>
        <v>OK</v>
      </c>
    </row>
    <row r="48" spans="1:21" x14ac:dyDescent="0.35">
      <c r="A48" s="21" t="s">
        <v>143</v>
      </c>
      <c r="B48" s="21" t="s">
        <v>32</v>
      </c>
      <c r="C48" s="21" t="s">
        <v>48</v>
      </c>
      <c r="D48" s="22">
        <v>45324</v>
      </c>
      <c r="E48" s="22" t="s">
        <v>689</v>
      </c>
      <c r="F48" s="21" t="s">
        <v>144</v>
      </c>
      <c r="G48" s="21" t="s">
        <v>145</v>
      </c>
      <c r="H48" s="21">
        <v>108000</v>
      </c>
      <c r="I48" s="21" t="s">
        <v>36</v>
      </c>
      <c r="J48" s="21" t="s">
        <v>37</v>
      </c>
      <c r="K48" s="21" t="s">
        <v>26</v>
      </c>
      <c r="L48" s="21" t="s">
        <v>27</v>
      </c>
      <c r="M48" s="21" t="s">
        <v>28</v>
      </c>
      <c r="N48" s="21" t="s">
        <v>29</v>
      </c>
      <c r="O48" s="24">
        <v>45331</v>
      </c>
      <c r="P48" s="24">
        <v>45331</v>
      </c>
      <c r="Q48" s="21" t="s">
        <v>30</v>
      </c>
      <c r="R48" s="21">
        <f t="shared" si="3"/>
        <v>7</v>
      </c>
      <c r="S48" s="23" t="str">
        <f t="shared" si="4"/>
        <v>Yes</v>
      </c>
      <c r="T48" s="21" t="str">
        <f t="shared" si="5"/>
        <v>Matched</v>
      </c>
      <c r="U48" s="2" t="str">
        <f>IF(COUNTIFS($B$2:B48,B48,$F$2:F48,F48,$H$2:H48,H48)&gt;1,"DUPLICATE","OK")</f>
        <v>OK</v>
      </c>
    </row>
    <row r="49" spans="1:21" x14ac:dyDescent="0.35">
      <c r="A49" s="21" t="s">
        <v>158</v>
      </c>
      <c r="B49" s="21" t="s">
        <v>32</v>
      </c>
      <c r="C49" s="21" t="s">
        <v>21</v>
      </c>
      <c r="D49" s="22">
        <v>45329</v>
      </c>
      <c r="E49" s="22" t="s">
        <v>689</v>
      </c>
      <c r="F49" s="21" t="s">
        <v>159</v>
      </c>
      <c r="G49" s="21" t="s">
        <v>160</v>
      </c>
      <c r="H49" s="21">
        <v>72000</v>
      </c>
      <c r="I49" s="21" t="s">
        <v>36</v>
      </c>
      <c r="J49" s="21" t="s">
        <v>37</v>
      </c>
      <c r="K49" s="21" t="s">
        <v>26</v>
      </c>
      <c r="L49" s="21" t="s">
        <v>27</v>
      </c>
      <c r="M49" s="21" t="s">
        <v>28</v>
      </c>
      <c r="N49" s="21" t="s">
        <v>108</v>
      </c>
      <c r="O49" s="24">
        <v>45336</v>
      </c>
      <c r="P49" s="21" t="s">
        <v>30</v>
      </c>
      <c r="Q49" s="21" t="s">
        <v>109</v>
      </c>
      <c r="R49" s="21" t="str">
        <f t="shared" si="3"/>
        <v>-</v>
      </c>
      <c r="S49" s="23" t="str">
        <f t="shared" si="4"/>
        <v>-</v>
      </c>
      <c r="T49" s="21" t="str">
        <f t="shared" si="5"/>
        <v>Matched</v>
      </c>
      <c r="U49" s="2" t="str">
        <f>IF(COUNTIFS($B$2:B49,B49,$F$2:F49,F49,$H$2:H49,H49)&gt;1,"DUPLICATE","OK")</f>
        <v>OK</v>
      </c>
    </row>
    <row r="50" spans="1:21" x14ac:dyDescent="0.35">
      <c r="A50" s="21" t="s">
        <v>174</v>
      </c>
      <c r="B50" s="21" t="s">
        <v>32</v>
      </c>
      <c r="C50" s="21" t="s">
        <v>33</v>
      </c>
      <c r="D50" s="22">
        <v>45334</v>
      </c>
      <c r="E50" s="22" t="s">
        <v>689</v>
      </c>
      <c r="F50" s="21" t="s">
        <v>175</v>
      </c>
      <c r="G50" s="21" t="s">
        <v>176</v>
      </c>
      <c r="H50" s="21">
        <v>55000</v>
      </c>
      <c r="I50" s="21" t="s">
        <v>36</v>
      </c>
      <c r="J50" s="21" t="s">
        <v>37</v>
      </c>
      <c r="K50" s="21" t="s">
        <v>26</v>
      </c>
      <c r="L50" s="21" t="s">
        <v>27</v>
      </c>
      <c r="M50" s="21" t="s">
        <v>28</v>
      </c>
      <c r="N50" s="21" t="s">
        <v>29</v>
      </c>
      <c r="O50" s="24">
        <v>45341</v>
      </c>
      <c r="P50" s="24">
        <v>45346</v>
      </c>
      <c r="Q50" s="21" t="s">
        <v>173</v>
      </c>
      <c r="R50" s="21">
        <f t="shared" si="3"/>
        <v>12</v>
      </c>
      <c r="S50" s="23" t="str">
        <f t="shared" si="4"/>
        <v>No</v>
      </c>
      <c r="T50" s="21" t="str">
        <f t="shared" si="5"/>
        <v>Matched</v>
      </c>
      <c r="U50" s="2" t="str">
        <f>IF(COUNTIFS($B$2:B50,B50,$F$2:F50,F50,$H$2:H50,H50)&gt;1,"DUPLICATE","OK")</f>
        <v>OK</v>
      </c>
    </row>
    <row r="51" spans="1:21" x14ac:dyDescent="0.35">
      <c r="A51" s="21" t="s">
        <v>190</v>
      </c>
      <c r="B51" s="21" t="s">
        <v>32</v>
      </c>
      <c r="C51" s="21" t="s">
        <v>40</v>
      </c>
      <c r="D51" s="22">
        <v>45339</v>
      </c>
      <c r="E51" s="22" t="s">
        <v>689</v>
      </c>
      <c r="F51" s="21" t="s">
        <v>191</v>
      </c>
      <c r="G51" s="21" t="s">
        <v>192</v>
      </c>
      <c r="H51" s="21">
        <v>119000</v>
      </c>
      <c r="I51" s="21" t="s">
        <v>36</v>
      </c>
      <c r="J51" s="21" t="s">
        <v>37</v>
      </c>
      <c r="K51" s="21" t="s">
        <v>26</v>
      </c>
      <c r="L51" s="21" t="s">
        <v>27</v>
      </c>
      <c r="M51" s="21" t="s">
        <v>28</v>
      </c>
      <c r="N51" s="21" t="s">
        <v>29</v>
      </c>
      <c r="O51" s="24">
        <v>45346</v>
      </c>
      <c r="P51" s="24">
        <v>45346</v>
      </c>
      <c r="Q51" s="21" t="s">
        <v>30</v>
      </c>
      <c r="R51" s="21">
        <f t="shared" si="3"/>
        <v>7</v>
      </c>
      <c r="S51" s="23" t="str">
        <f t="shared" si="4"/>
        <v>Yes</v>
      </c>
      <c r="T51" s="21" t="str">
        <f t="shared" si="5"/>
        <v>Matched</v>
      </c>
      <c r="U51" s="2" t="str">
        <f>IF(COUNTIFS($B$2:B51,B51,$F$2:F51,F51,$H$2:H51,H51)&gt;1,"DUPLICATE","OK")</f>
        <v>OK</v>
      </c>
    </row>
    <row r="52" spans="1:21" x14ac:dyDescent="0.35">
      <c r="A52" s="21" t="s">
        <v>205</v>
      </c>
      <c r="B52" s="21" t="s">
        <v>32</v>
      </c>
      <c r="C52" s="21" t="s">
        <v>48</v>
      </c>
      <c r="D52" s="22">
        <v>45344</v>
      </c>
      <c r="E52" s="22" t="s">
        <v>689</v>
      </c>
      <c r="F52" s="21" t="s">
        <v>206</v>
      </c>
      <c r="G52" s="21" t="s">
        <v>207</v>
      </c>
      <c r="H52" s="21">
        <v>96000</v>
      </c>
      <c r="I52" s="21" t="s">
        <v>36</v>
      </c>
      <c r="J52" s="21" t="s">
        <v>37</v>
      </c>
      <c r="K52" s="21" t="s">
        <v>26</v>
      </c>
      <c r="L52" s="21" t="s">
        <v>27</v>
      </c>
      <c r="M52" s="21" t="s">
        <v>28</v>
      </c>
      <c r="N52" s="21" t="s">
        <v>29</v>
      </c>
      <c r="O52" s="24">
        <v>45351</v>
      </c>
      <c r="P52" s="24">
        <v>45351</v>
      </c>
      <c r="Q52" s="21" t="s">
        <v>30</v>
      </c>
      <c r="R52" s="21">
        <f t="shared" si="3"/>
        <v>7</v>
      </c>
      <c r="S52" s="23" t="str">
        <f t="shared" si="4"/>
        <v>Yes</v>
      </c>
      <c r="T52" s="21" t="str">
        <f t="shared" si="5"/>
        <v>Matched</v>
      </c>
      <c r="U52" s="2" t="str">
        <f>IF(COUNTIFS($B$2:B52,B52,$F$2:F52,F52,$H$2:H52,H52)&gt;1,"DUPLICATE","OK")</f>
        <v>OK</v>
      </c>
    </row>
    <row r="53" spans="1:21" x14ac:dyDescent="0.35">
      <c r="A53" s="21" t="s">
        <v>220</v>
      </c>
      <c r="B53" s="21" t="s">
        <v>32</v>
      </c>
      <c r="C53" s="21" t="s">
        <v>21</v>
      </c>
      <c r="D53" s="22">
        <v>45349</v>
      </c>
      <c r="E53" s="22" t="s">
        <v>689</v>
      </c>
      <c r="F53" s="21" t="s">
        <v>221</v>
      </c>
      <c r="G53" s="21" t="s">
        <v>222</v>
      </c>
      <c r="H53" s="21">
        <v>83000</v>
      </c>
      <c r="I53" s="21" t="s">
        <v>36</v>
      </c>
      <c r="J53" s="21" t="s">
        <v>37</v>
      </c>
      <c r="K53" s="21" t="s">
        <v>26</v>
      </c>
      <c r="L53" s="21" t="s">
        <v>27</v>
      </c>
      <c r="M53" s="21" t="s">
        <v>28</v>
      </c>
      <c r="N53" s="21" t="s">
        <v>29</v>
      </c>
      <c r="O53" s="24">
        <v>45356</v>
      </c>
      <c r="P53" s="24">
        <v>45356</v>
      </c>
      <c r="Q53" s="21" t="s">
        <v>30</v>
      </c>
      <c r="R53" s="21">
        <f t="shared" si="3"/>
        <v>7</v>
      </c>
      <c r="S53" s="23" t="str">
        <f t="shared" si="4"/>
        <v>Yes</v>
      </c>
      <c r="T53" s="21" t="str">
        <f t="shared" si="5"/>
        <v>Matched</v>
      </c>
      <c r="U53" s="2" t="str">
        <f>IF(COUNTIFS($B$2:B53,B53,$F$2:F53,F53,$H$2:H53,H53)&gt;1,"DUPLICATE","OK")</f>
        <v>OK</v>
      </c>
    </row>
    <row r="54" spans="1:21" x14ac:dyDescent="0.35">
      <c r="A54" s="21" t="s">
        <v>140</v>
      </c>
      <c r="B54" s="21" t="s">
        <v>20</v>
      </c>
      <c r="C54" s="21" t="s">
        <v>40</v>
      </c>
      <c r="D54" s="22">
        <v>45323</v>
      </c>
      <c r="E54" s="22" t="s">
        <v>689</v>
      </c>
      <c r="F54" s="21" t="s">
        <v>141</v>
      </c>
      <c r="G54" s="21" t="s">
        <v>142</v>
      </c>
      <c r="H54" s="21">
        <v>27000</v>
      </c>
      <c r="I54" s="21" t="s">
        <v>24</v>
      </c>
      <c r="J54" s="21" t="s">
        <v>25</v>
      </c>
      <c r="K54" s="21" t="s">
        <v>26</v>
      </c>
      <c r="L54" s="21" t="s">
        <v>27</v>
      </c>
      <c r="M54" s="21" t="s">
        <v>62</v>
      </c>
      <c r="N54" s="21" t="s">
        <v>29</v>
      </c>
      <c r="O54" s="24">
        <v>45330</v>
      </c>
      <c r="P54" s="24">
        <v>45330</v>
      </c>
      <c r="Q54" s="21" t="s">
        <v>30</v>
      </c>
      <c r="R54" s="21">
        <f t="shared" si="3"/>
        <v>7</v>
      </c>
      <c r="S54" s="23" t="str">
        <f t="shared" si="4"/>
        <v>Yes</v>
      </c>
      <c r="T54" s="21" t="str">
        <f t="shared" si="5"/>
        <v>Matched</v>
      </c>
      <c r="U54" s="2" t="str">
        <f>IF(COUNTIFS($B$2:B54,B54,$F$2:F54,F54,$H$2:H54,H54)&gt;1,"DUPLICATE","OK")</f>
        <v>OK</v>
      </c>
    </row>
    <row r="55" spans="1:21" x14ac:dyDescent="0.35">
      <c r="A55" s="21" t="s">
        <v>155</v>
      </c>
      <c r="B55" s="21" t="s">
        <v>20</v>
      </c>
      <c r="C55" s="21" t="s">
        <v>48</v>
      </c>
      <c r="D55" s="22">
        <v>45328</v>
      </c>
      <c r="E55" s="22" t="s">
        <v>689</v>
      </c>
      <c r="F55" s="21" t="s">
        <v>156</v>
      </c>
      <c r="G55" s="21" t="s">
        <v>157</v>
      </c>
      <c r="H55" s="21">
        <v>36000</v>
      </c>
      <c r="I55" s="21" t="s">
        <v>24</v>
      </c>
      <c r="J55" s="21" t="s">
        <v>25</v>
      </c>
      <c r="K55" s="21" t="s">
        <v>26</v>
      </c>
      <c r="L55" s="21" t="s">
        <v>113</v>
      </c>
      <c r="M55" s="21" t="s">
        <v>62</v>
      </c>
      <c r="N55" s="21" t="s">
        <v>114</v>
      </c>
      <c r="O55" s="24">
        <v>45335</v>
      </c>
      <c r="P55" s="21" t="s">
        <v>30</v>
      </c>
      <c r="Q55" s="21" t="s">
        <v>115</v>
      </c>
      <c r="R55" s="21" t="str">
        <f t="shared" si="3"/>
        <v>-</v>
      </c>
      <c r="S55" s="23" t="str">
        <f t="shared" si="4"/>
        <v>-</v>
      </c>
      <c r="T55" s="21" t="str">
        <f t="shared" si="5"/>
        <v>Matched</v>
      </c>
      <c r="U55" s="2" t="str">
        <f>IF(COUNTIFS($B$2:B55,B55,$F$2:F55,F55,$H$2:H55,H55)&gt;1,"DUPLICATE","OK")</f>
        <v>OK</v>
      </c>
    </row>
    <row r="56" spans="1:21" x14ac:dyDescent="0.35">
      <c r="A56" s="21" t="s">
        <v>170</v>
      </c>
      <c r="B56" s="21" t="s">
        <v>20</v>
      </c>
      <c r="C56" s="21" t="s">
        <v>21</v>
      </c>
      <c r="D56" s="22">
        <v>45333</v>
      </c>
      <c r="E56" s="22" t="s">
        <v>689</v>
      </c>
      <c r="F56" s="21" t="s">
        <v>171</v>
      </c>
      <c r="G56" s="21" t="s">
        <v>172</v>
      </c>
      <c r="H56" s="21">
        <v>68000</v>
      </c>
      <c r="I56" s="21" t="s">
        <v>24</v>
      </c>
      <c r="J56" s="21" t="s">
        <v>25</v>
      </c>
      <c r="K56" s="21" t="s">
        <v>26</v>
      </c>
      <c r="L56" s="21" t="s">
        <v>27</v>
      </c>
      <c r="M56" s="21" t="s">
        <v>28</v>
      </c>
      <c r="N56" s="21" t="s">
        <v>29</v>
      </c>
      <c r="O56" s="24">
        <v>45340</v>
      </c>
      <c r="P56" s="24">
        <v>45344</v>
      </c>
      <c r="Q56" s="21" t="s">
        <v>173</v>
      </c>
      <c r="R56" s="21">
        <f t="shared" si="3"/>
        <v>11</v>
      </c>
      <c r="S56" s="23" t="str">
        <f t="shared" si="4"/>
        <v>No</v>
      </c>
      <c r="T56" s="21" t="str">
        <f t="shared" si="5"/>
        <v>Matched</v>
      </c>
      <c r="U56" s="2" t="str">
        <f>IF(COUNTIFS($B$2:B56,B56,$F$2:F56,F56,$H$2:H56,H56)&gt;1,"DUPLICATE","OK")</f>
        <v>OK</v>
      </c>
    </row>
    <row r="57" spans="1:21" x14ac:dyDescent="0.35">
      <c r="A57" s="21" t="s">
        <v>187</v>
      </c>
      <c r="B57" s="21" t="s">
        <v>20</v>
      </c>
      <c r="C57" s="21" t="s">
        <v>33</v>
      </c>
      <c r="D57" s="22">
        <v>45338</v>
      </c>
      <c r="E57" s="22" t="s">
        <v>689</v>
      </c>
      <c r="F57" s="21" t="s">
        <v>188</v>
      </c>
      <c r="G57" s="21" t="s">
        <v>189</v>
      </c>
      <c r="H57" s="21">
        <v>34000</v>
      </c>
      <c r="I57" s="21" t="s">
        <v>24</v>
      </c>
      <c r="J57" s="21" t="s">
        <v>25</v>
      </c>
      <c r="K57" s="21" t="s">
        <v>26</v>
      </c>
      <c r="L57" s="21" t="s">
        <v>27</v>
      </c>
      <c r="M57" s="21" t="s">
        <v>62</v>
      </c>
      <c r="N57" s="21" t="s">
        <v>29</v>
      </c>
      <c r="O57" s="24">
        <v>45345</v>
      </c>
      <c r="P57" s="24">
        <v>45345</v>
      </c>
      <c r="Q57" s="21" t="s">
        <v>30</v>
      </c>
      <c r="R57" s="21">
        <f t="shared" si="3"/>
        <v>7</v>
      </c>
      <c r="S57" s="23" t="str">
        <f t="shared" si="4"/>
        <v>Yes</v>
      </c>
      <c r="T57" s="21" t="str">
        <f t="shared" si="5"/>
        <v>Matched</v>
      </c>
      <c r="U57" s="2" t="str">
        <f>IF(COUNTIFS($B$2:B57,B57,$F$2:F57,F57,$H$2:H57,H57)&gt;1,"DUPLICATE","OK")</f>
        <v>OK</v>
      </c>
    </row>
    <row r="58" spans="1:21" x14ac:dyDescent="0.35">
      <c r="A58" s="21" t="s">
        <v>202</v>
      </c>
      <c r="B58" s="21" t="s">
        <v>20</v>
      </c>
      <c r="C58" s="21" t="s">
        <v>40</v>
      </c>
      <c r="D58" s="22">
        <v>45343</v>
      </c>
      <c r="E58" s="22" t="s">
        <v>689</v>
      </c>
      <c r="F58" s="21" t="s">
        <v>203</v>
      </c>
      <c r="G58" s="21" t="s">
        <v>204</v>
      </c>
      <c r="H58" s="21">
        <v>42000</v>
      </c>
      <c r="I58" s="21" t="s">
        <v>24</v>
      </c>
      <c r="J58" s="21" t="s">
        <v>25</v>
      </c>
      <c r="K58" s="21" t="s">
        <v>26</v>
      </c>
      <c r="L58" s="21" t="s">
        <v>27</v>
      </c>
      <c r="M58" s="21" t="s">
        <v>62</v>
      </c>
      <c r="N58" s="21" t="s">
        <v>29</v>
      </c>
      <c r="O58" s="24">
        <v>45350</v>
      </c>
      <c r="P58" s="24">
        <v>45350</v>
      </c>
      <c r="Q58" s="21" t="s">
        <v>30</v>
      </c>
      <c r="R58" s="21">
        <f t="shared" si="3"/>
        <v>7</v>
      </c>
      <c r="S58" s="23" t="str">
        <f t="shared" si="4"/>
        <v>Yes</v>
      </c>
      <c r="T58" s="21" t="str">
        <f t="shared" si="5"/>
        <v>Matched</v>
      </c>
      <c r="U58" s="2" t="str">
        <f>IF(COUNTIFS($B$2:B58,B58,$F$2:F58,F58,$H$2:H58,H58)&gt;1,"DUPLICATE","OK")</f>
        <v>OK</v>
      </c>
    </row>
    <row r="59" spans="1:21" x14ac:dyDescent="0.35">
      <c r="A59" s="21" t="s">
        <v>217</v>
      </c>
      <c r="B59" s="21" t="s">
        <v>20</v>
      </c>
      <c r="C59" s="21" t="s">
        <v>48</v>
      </c>
      <c r="D59" s="22">
        <v>45348</v>
      </c>
      <c r="E59" s="22" t="s">
        <v>689</v>
      </c>
      <c r="F59" s="21" t="s">
        <v>218</v>
      </c>
      <c r="G59" s="21" t="s">
        <v>219</v>
      </c>
      <c r="H59" s="21">
        <v>57000</v>
      </c>
      <c r="I59" s="21" t="s">
        <v>24</v>
      </c>
      <c r="J59" s="21" t="s">
        <v>25</v>
      </c>
      <c r="K59" s="21" t="s">
        <v>26</v>
      </c>
      <c r="L59" s="21" t="s">
        <v>27</v>
      </c>
      <c r="M59" s="21" t="s">
        <v>62</v>
      </c>
      <c r="N59" s="21" t="s">
        <v>29</v>
      </c>
      <c r="O59" s="24">
        <v>45355</v>
      </c>
      <c r="P59" s="24">
        <v>45355</v>
      </c>
      <c r="Q59" s="21" t="s">
        <v>30</v>
      </c>
      <c r="R59" s="21">
        <f t="shared" si="3"/>
        <v>7</v>
      </c>
      <c r="S59" s="23" t="str">
        <f t="shared" si="4"/>
        <v>Yes</v>
      </c>
      <c r="T59" s="21" t="str">
        <f t="shared" si="5"/>
        <v>Matched</v>
      </c>
      <c r="U59" s="2" t="str">
        <f>IF(COUNTIFS($B$2:B59,B59,$F$2:F59,F59,$H$2:H59,H59)&gt;1,"DUPLICATE","OK")</f>
        <v>OK</v>
      </c>
    </row>
    <row r="60" spans="1:21" x14ac:dyDescent="0.35">
      <c r="A60" s="21" t="s">
        <v>152</v>
      </c>
      <c r="B60" s="21" t="s">
        <v>54</v>
      </c>
      <c r="C60" s="21" t="s">
        <v>40</v>
      </c>
      <c r="D60" s="22">
        <v>45327</v>
      </c>
      <c r="E60" s="22" t="s">
        <v>689</v>
      </c>
      <c r="F60" s="21" t="s">
        <v>153</v>
      </c>
      <c r="G60" s="21" t="s">
        <v>154</v>
      </c>
      <c r="H60" s="21">
        <v>156000</v>
      </c>
      <c r="I60" s="21" t="s">
        <v>57</v>
      </c>
      <c r="J60" s="21" t="s">
        <v>58</v>
      </c>
      <c r="K60" s="21" t="s">
        <v>26</v>
      </c>
      <c r="L60" s="21" t="s">
        <v>27</v>
      </c>
      <c r="M60" s="21" t="s">
        <v>28</v>
      </c>
      <c r="N60" s="21" t="s">
        <v>29</v>
      </c>
      <c r="O60" s="24">
        <v>45334</v>
      </c>
      <c r="P60" s="24">
        <v>45334</v>
      </c>
      <c r="Q60" s="21" t="s">
        <v>30</v>
      </c>
      <c r="R60" s="21">
        <f t="shared" si="3"/>
        <v>7</v>
      </c>
      <c r="S60" s="23" t="str">
        <f t="shared" si="4"/>
        <v>Yes</v>
      </c>
      <c r="T60" s="21" t="str">
        <f t="shared" si="5"/>
        <v>Matched</v>
      </c>
      <c r="U60" s="2" t="str">
        <f>IF(COUNTIFS($B$2:B60,B60,$F$2:F60,F60,$H$2:H60,H60)&gt;1,"DUPLICATE","OK")</f>
        <v>OK</v>
      </c>
    </row>
    <row r="61" spans="1:21" x14ac:dyDescent="0.35">
      <c r="A61" s="21" t="s">
        <v>167</v>
      </c>
      <c r="B61" s="21" t="s">
        <v>54</v>
      </c>
      <c r="C61" s="21" t="s">
        <v>48</v>
      </c>
      <c r="D61" s="22">
        <v>45332</v>
      </c>
      <c r="E61" s="22" t="s">
        <v>689</v>
      </c>
      <c r="F61" s="21" t="s">
        <v>168</v>
      </c>
      <c r="G61" s="21" t="s">
        <v>169</v>
      </c>
      <c r="H61" s="21">
        <v>142000</v>
      </c>
      <c r="I61" s="21" t="s">
        <v>57</v>
      </c>
      <c r="J61" s="21" t="s">
        <v>58</v>
      </c>
      <c r="K61" s="21" t="s">
        <v>26</v>
      </c>
      <c r="L61" s="21" t="s">
        <v>27</v>
      </c>
      <c r="M61" s="21" t="s">
        <v>28</v>
      </c>
      <c r="N61" s="21" t="s">
        <v>29</v>
      </c>
      <c r="O61" s="24">
        <v>45339</v>
      </c>
      <c r="P61" s="24">
        <v>45339</v>
      </c>
      <c r="Q61" s="21" t="s">
        <v>30</v>
      </c>
      <c r="R61" s="21">
        <f t="shared" si="3"/>
        <v>7</v>
      </c>
      <c r="S61" s="23" t="str">
        <f t="shared" si="4"/>
        <v>Yes</v>
      </c>
      <c r="T61" s="21" t="str">
        <f t="shared" si="5"/>
        <v>Matched</v>
      </c>
      <c r="U61" s="2" t="str">
        <f>IF(COUNTIFS($B$2:B61,B61,$F$2:F61,F61,$H$2:H61,H61)&gt;1,"DUPLICATE","OK")</f>
        <v>OK</v>
      </c>
    </row>
    <row r="62" spans="1:21" x14ac:dyDescent="0.35">
      <c r="A62" s="21" t="s">
        <v>184</v>
      </c>
      <c r="B62" s="21" t="s">
        <v>54</v>
      </c>
      <c r="C62" s="21" t="s">
        <v>21</v>
      </c>
      <c r="D62" s="22">
        <v>45337</v>
      </c>
      <c r="E62" s="22" t="s">
        <v>689</v>
      </c>
      <c r="F62" s="21" t="s">
        <v>185</v>
      </c>
      <c r="G62" s="21" t="s">
        <v>186</v>
      </c>
      <c r="H62" s="21">
        <v>175000</v>
      </c>
      <c r="I62" s="21" t="s">
        <v>57</v>
      </c>
      <c r="J62" s="21" t="s">
        <v>58</v>
      </c>
      <c r="K62" s="21" t="s">
        <v>26</v>
      </c>
      <c r="L62" s="21" t="s">
        <v>27</v>
      </c>
      <c r="M62" s="21" t="s">
        <v>45</v>
      </c>
      <c r="N62" s="21" t="s">
        <v>29</v>
      </c>
      <c r="O62" s="24">
        <v>45344</v>
      </c>
      <c r="P62" s="24">
        <v>45344</v>
      </c>
      <c r="Q62" s="21" t="s">
        <v>30</v>
      </c>
      <c r="R62" s="21">
        <f t="shared" si="3"/>
        <v>7</v>
      </c>
      <c r="S62" s="23" t="str">
        <f t="shared" si="4"/>
        <v>Yes</v>
      </c>
      <c r="T62" s="21" t="str">
        <f t="shared" si="5"/>
        <v>Matched</v>
      </c>
      <c r="U62" s="2" t="str">
        <f>IF(COUNTIFS($B$2:B62,B62,$F$2:F62,F62,$H$2:H62,H62)&gt;1,"DUPLICATE","OK")</f>
        <v>OK</v>
      </c>
    </row>
    <row r="63" spans="1:21" x14ac:dyDescent="0.35">
      <c r="A63" s="21" t="s">
        <v>199</v>
      </c>
      <c r="B63" s="21" t="s">
        <v>54</v>
      </c>
      <c r="C63" s="21" t="s">
        <v>33</v>
      </c>
      <c r="D63" s="22">
        <v>45342</v>
      </c>
      <c r="E63" s="22" t="s">
        <v>689</v>
      </c>
      <c r="F63" s="21" t="s">
        <v>200</v>
      </c>
      <c r="G63" s="21" t="s">
        <v>201</v>
      </c>
      <c r="H63" s="21">
        <v>107000</v>
      </c>
      <c r="I63" s="21" t="s">
        <v>57</v>
      </c>
      <c r="J63" s="21" t="s">
        <v>58</v>
      </c>
      <c r="K63" s="21" t="s">
        <v>26</v>
      </c>
      <c r="L63" s="21" t="s">
        <v>27</v>
      </c>
      <c r="M63" s="21" t="s">
        <v>28</v>
      </c>
      <c r="N63" s="21" t="s">
        <v>29</v>
      </c>
      <c r="O63" s="24">
        <v>45349</v>
      </c>
      <c r="P63" s="24">
        <v>45349</v>
      </c>
      <c r="Q63" s="21" t="s">
        <v>30</v>
      </c>
      <c r="R63" s="21">
        <f t="shared" si="3"/>
        <v>7</v>
      </c>
      <c r="S63" s="23" t="str">
        <f t="shared" si="4"/>
        <v>Yes</v>
      </c>
      <c r="T63" s="21" t="str">
        <f t="shared" si="5"/>
        <v>Matched</v>
      </c>
      <c r="U63" s="2" t="str">
        <f>IF(COUNTIFS($B$2:B63,B63,$F$2:F63,F63,$H$2:H63,H63)&gt;1,"DUPLICATE","OK")</f>
        <v>OK</v>
      </c>
    </row>
    <row r="64" spans="1:21" x14ac:dyDescent="0.35">
      <c r="A64" s="21" t="s">
        <v>214</v>
      </c>
      <c r="B64" s="21" t="s">
        <v>54</v>
      </c>
      <c r="C64" s="21" t="s">
        <v>40</v>
      </c>
      <c r="D64" s="22">
        <v>45347</v>
      </c>
      <c r="E64" s="22" t="s">
        <v>689</v>
      </c>
      <c r="F64" s="21" t="s">
        <v>215</v>
      </c>
      <c r="G64" s="21" t="s">
        <v>216</v>
      </c>
      <c r="H64" s="21">
        <v>188000</v>
      </c>
      <c r="I64" s="21" t="s">
        <v>57</v>
      </c>
      <c r="J64" s="21" t="s">
        <v>58</v>
      </c>
      <c r="K64" s="21" t="s">
        <v>26</v>
      </c>
      <c r="L64" s="21" t="s">
        <v>27</v>
      </c>
      <c r="M64" s="21" t="s">
        <v>28</v>
      </c>
      <c r="N64" s="21" t="s">
        <v>29</v>
      </c>
      <c r="O64" s="24">
        <v>45354</v>
      </c>
      <c r="P64" s="24">
        <v>45354</v>
      </c>
      <c r="Q64" s="21" t="s">
        <v>30</v>
      </c>
      <c r="R64" s="21">
        <f t="shared" si="3"/>
        <v>7</v>
      </c>
      <c r="S64" s="23" t="str">
        <f t="shared" si="4"/>
        <v>Yes</v>
      </c>
      <c r="T64" s="21" t="str">
        <f t="shared" si="5"/>
        <v>Matched</v>
      </c>
      <c r="U64" s="2" t="str">
        <f>IF(COUNTIFS($B$2:B64,B64,$F$2:F64,F64,$H$2:H64,H64)&gt;1,"DUPLICATE","OK")</f>
        <v>OK</v>
      </c>
    </row>
    <row r="65" spans="1:21" x14ac:dyDescent="0.35">
      <c r="A65" s="21" t="s">
        <v>149</v>
      </c>
      <c r="B65" s="21" t="s">
        <v>47</v>
      </c>
      <c r="C65" s="21" t="s">
        <v>33</v>
      </c>
      <c r="D65" s="22">
        <v>45326</v>
      </c>
      <c r="E65" s="22" t="s">
        <v>689</v>
      </c>
      <c r="F65" s="21" t="s">
        <v>150</v>
      </c>
      <c r="G65" s="21" t="s">
        <v>151</v>
      </c>
      <c r="H65" s="21">
        <v>79000</v>
      </c>
      <c r="I65" s="21" t="s">
        <v>51</v>
      </c>
      <c r="J65" s="21" t="s">
        <v>52</v>
      </c>
      <c r="K65" s="21" t="s">
        <v>26</v>
      </c>
      <c r="L65" s="21" t="s">
        <v>27</v>
      </c>
      <c r="M65" s="21" t="s">
        <v>45</v>
      </c>
      <c r="N65" s="21" t="s">
        <v>29</v>
      </c>
      <c r="O65" s="24">
        <v>45333</v>
      </c>
      <c r="P65" s="24">
        <v>45332</v>
      </c>
      <c r="Q65" s="21" t="s">
        <v>30</v>
      </c>
      <c r="R65" s="21">
        <f t="shared" si="3"/>
        <v>6</v>
      </c>
      <c r="S65" s="23" t="str">
        <f t="shared" si="4"/>
        <v>Yes</v>
      </c>
      <c r="T65" s="21" t="str">
        <f t="shared" si="5"/>
        <v>Matched</v>
      </c>
      <c r="U65" s="2" t="str">
        <f>IF(COUNTIFS($B$2:B65,B65,$F$2:F65,F65,$H$2:H65,H65)&gt;1,"DUPLICATE","OK")</f>
        <v>OK</v>
      </c>
    </row>
    <row r="66" spans="1:21" x14ac:dyDescent="0.35">
      <c r="A66" s="21" t="s">
        <v>164</v>
      </c>
      <c r="B66" s="21" t="s">
        <v>47</v>
      </c>
      <c r="C66" s="21" t="s">
        <v>40</v>
      </c>
      <c r="D66" s="22">
        <v>45331</v>
      </c>
      <c r="E66" s="22" t="s">
        <v>689</v>
      </c>
      <c r="F66" s="21" t="s">
        <v>165</v>
      </c>
      <c r="G66" s="21" t="s">
        <v>166</v>
      </c>
      <c r="H66" s="21">
        <v>93000</v>
      </c>
      <c r="I66" s="21" t="s">
        <v>51</v>
      </c>
      <c r="J66" s="21" t="s">
        <v>52</v>
      </c>
      <c r="K66" s="21" t="s">
        <v>26</v>
      </c>
      <c r="L66" s="21" t="s">
        <v>27</v>
      </c>
      <c r="M66" s="21" t="s">
        <v>45</v>
      </c>
      <c r="N66" s="21" t="s">
        <v>29</v>
      </c>
      <c r="O66" s="24">
        <v>45338</v>
      </c>
      <c r="P66" s="24">
        <v>45337</v>
      </c>
      <c r="Q66" s="21" t="s">
        <v>30</v>
      </c>
      <c r="R66" s="21">
        <f t="shared" ref="R66:R97" si="6">IF(P66="-","-",P66-D66)</f>
        <v>6</v>
      </c>
      <c r="S66" s="23" t="str">
        <f t="shared" ref="S66:S97" si="7">IF(R66="-","-",IF(R66&lt;=7,"Yes","No"))</f>
        <v>Yes</v>
      </c>
      <c r="T66" s="21" t="str">
        <f t="shared" ref="T66:T97" si="8">IF(AND(F66&lt;&gt;"MISSING",G66&lt;&gt;"MISSING"),"Matched","Mismatched")</f>
        <v>Matched</v>
      </c>
      <c r="U66" s="2" t="str">
        <f>IF(COUNTIFS($B$2:B66,B66,$F$2:F66,F66,$H$2:H66,H66)&gt;1,"DUPLICATE","OK")</f>
        <v>OK</v>
      </c>
    </row>
    <row r="67" spans="1:21" x14ac:dyDescent="0.35">
      <c r="A67" s="21" t="s">
        <v>181</v>
      </c>
      <c r="B67" s="21" t="s">
        <v>47</v>
      </c>
      <c r="C67" s="21" t="s">
        <v>48</v>
      </c>
      <c r="D67" s="22">
        <v>45336</v>
      </c>
      <c r="E67" s="22" t="s">
        <v>689</v>
      </c>
      <c r="F67" s="21" t="s">
        <v>182</v>
      </c>
      <c r="G67" s="21" t="s">
        <v>183</v>
      </c>
      <c r="H67" s="21">
        <v>47000</v>
      </c>
      <c r="I67" s="21" t="s">
        <v>51</v>
      </c>
      <c r="J67" s="21" t="s">
        <v>52</v>
      </c>
      <c r="K67" s="21" t="s">
        <v>26</v>
      </c>
      <c r="L67" s="21" t="s">
        <v>27</v>
      </c>
      <c r="M67" s="21" t="s">
        <v>28</v>
      </c>
      <c r="N67" s="21" t="s">
        <v>29</v>
      </c>
      <c r="O67" s="24">
        <v>45343</v>
      </c>
      <c r="P67" s="24">
        <v>45345</v>
      </c>
      <c r="Q67" s="21" t="s">
        <v>173</v>
      </c>
      <c r="R67" s="21">
        <f t="shared" si="6"/>
        <v>9</v>
      </c>
      <c r="S67" s="23" t="str">
        <f t="shared" si="7"/>
        <v>No</v>
      </c>
      <c r="T67" s="21" t="str">
        <f t="shared" si="8"/>
        <v>Matched</v>
      </c>
      <c r="U67" s="2" t="str">
        <f>IF(COUNTIFS($B$2:B67,B67,$F$2:F67,F67,$H$2:H67,H67)&gt;1,"DUPLICATE","OK")</f>
        <v>OK</v>
      </c>
    </row>
    <row r="68" spans="1:21" x14ac:dyDescent="0.35">
      <c r="A68" s="21" t="s">
        <v>196</v>
      </c>
      <c r="B68" s="21" t="s">
        <v>47</v>
      </c>
      <c r="C68" s="21" t="s">
        <v>21</v>
      </c>
      <c r="D68" s="22">
        <v>45341</v>
      </c>
      <c r="E68" s="22" t="s">
        <v>689</v>
      </c>
      <c r="F68" s="21" t="s">
        <v>197</v>
      </c>
      <c r="G68" s="21" t="s">
        <v>198</v>
      </c>
      <c r="H68" s="21">
        <v>88000</v>
      </c>
      <c r="I68" s="21" t="s">
        <v>51</v>
      </c>
      <c r="J68" s="21" t="s">
        <v>52</v>
      </c>
      <c r="K68" s="21" t="s">
        <v>26</v>
      </c>
      <c r="L68" s="21" t="s">
        <v>27</v>
      </c>
      <c r="M68" s="21" t="s">
        <v>45</v>
      </c>
      <c r="N68" s="21" t="s">
        <v>29</v>
      </c>
      <c r="O68" s="24">
        <v>45348</v>
      </c>
      <c r="P68" s="24">
        <v>45347</v>
      </c>
      <c r="Q68" s="21" t="s">
        <v>30</v>
      </c>
      <c r="R68" s="21">
        <f t="shared" si="6"/>
        <v>6</v>
      </c>
      <c r="S68" s="23" t="str">
        <f t="shared" si="7"/>
        <v>Yes</v>
      </c>
      <c r="T68" s="21" t="str">
        <f t="shared" si="8"/>
        <v>Matched</v>
      </c>
      <c r="U68" s="2" t="str">
        <f>IF(COUNTIFS($B$2:B68,B68,$F$2:F68,F68,$H$2:H68,H68)&gt;1,"DUPLICATE","OK")</f>
        <v>OK</v>
      </c>
    </row>
    <row r="69" spans="1:21" x14ac:dyDescent="0.35">
      <c r="A69" s="21" t="s">
        <v>211</v>
      </c>
      <c r="B69" s="21" t="s">
        <v>47</v>
      </c>
      <c r="C69" s="21" t="s">
        <v>33</v>
      </c>
      <c r="D69" s="22">
        <v>45346</v>
      </c>
      <c r="E69" s="22" t="s">
        <v>689</v>
      </c>
      <c r="F69" s="21" t="s">
        <v>212</v>
      </c>
      <c r="G69" s="21" t="s">
        <v>213</v>
      </c>
      <c r="H69" s="21">
        <v>49000</v>
      </c>
      <c r="I69" s="21" t="s">
        <v>51</v>
      </c>
      <c r="J69" s="21" t="s">
        <v>52</v>
      </c>
      <c r="K69" s="21" t="s">
        <v>26</v>
      </c>
      <c r="L69" s="21" t="s">
        <v>27</v>
      </c>
      <c r="M69" s="21" t="s">
        <v>45</v>
      </c>
      <c r="N69" s="21" t="s">
        <v>29</v>
      </c>
      <c r="O69" s="24">
        <v>45353</v>
      </c>
      <c r="P69" s="24">
        <v>45352</v>
      </c>
      <c r="Q69" s="21" t="s">
        <v>30</v>
      </c>
      <c r="R69" s="21">
        <f t="shared" si="6"/>
        <v>6</v>
      </c>
      <c r="S69" s="23" t="str">
        <f t="shared" si="7"/>
        <v>Yes</v>
      </c>
      <c r="T69" s="21" t="str">
        <f t="shared" si="8"/>
        <v>Matched</v>
      </c>
      <c r="U69" s="2" t="str">
        <f>IF(COUNTIFS($B$2:B69,B69,$F$2:F69,F69,$H$2:H69,H69)&gt;1,"DUPLICATE","OK")</f>
        <v>OK</v>
      </c>
    </row>
    <row r="70" spans="1:21" x14ac:dyDescent="0.35">
      <c r="A70" s="21" t="s">
        <v>226</v>
      </c>
      <c r="B70" s="21" t="s">
        <v>47</v>
      </c>
      <c r="C70" s="21" t="s">
        <v>40</v>
      </c>
      <c r="D70" s="22">
        <v>45351</v>
      </c>
      <c r="E70" s="22" t="s">
        <v>689</v>
      </c>
      <c r="F70" s="21" t="s">
        <v>227</v>
      </c>
      <c r="G70" s="21" t="s">
        <v>228</v>
      </c>
      <c r="H70" s="21">
        <v>114000</v>
      </c>
      <c r="I70" s="21" t="s">
        <v>51</v>
      </c>
      <c r="J70" s="21" t="s">
        <v>52</v>
      </c>
      <c r="K70" s="21" t="s">
        <v>26</v>
      </c>
      <c r="L70" s="21" t="s">
        <v>27</v>
      </c>
      <c r="M70" s="21" t="s">
        <v>45</v>
      </c>
      <c r="N70" s="21" t="s">
        <v>29</v>
      </c>
      <c r="O70" s="24">
        <v>45358</v>
      </c>
      <c r="P70" s="24">
        <v>45357</v>
      </c>
      <c r="Q70" s="21" t="s">
        <v>30</v>
      </c>
      <c r="R70" s="21">
        <f t="shared" si="6"/>
        <v>6</v>
      </c>
      <c r="S70" s="23" t="str">
        <f t="shared" si="7"/>
        <v>Yes</v>
      </c>
      <c r="T70" s="21" t="str">
        <f t="shared" si="8"/>
        <v>Matched</v>
      </c>
      <c r="U70" s="2" t="str">
        <f>IF(COUNTIFS($B$2:B70,B70,$F$2:F70,F70,$H$2:H70,H70)&gt;1,"DUPLICATE","OK")</f>
        <v>OK</v>
      </c>
    </row>
    <row r="71" spans="1:21" x14ac:dyDescent="0.35">
      <c r="A71" s="21" t="s">
        <v>239</v>
      </c>
      <c r="B71" s="21" t="s">
        <v>39</v>
      </c>
      <c r="C71" s="21" t="s">
        <v>40</v>
      </c>
      <c r="D71" s="22">
        <v>45355</v>
      </c>
      <c r="E71" s="22" t="s">
        <v>690</v>
      </c>
      <c r="F71" s="21" t="s">
        <v>233</v>
      </c>
      <c r="G71" s="21" t="s">
        <v>240</v>
      </c>
      <c r="H71" s="21">
        <v>91000</v>
      </c>
      <c r="I71" s="21" t="s">
        <v>43</v>
      </c>
      <c r="J71" s="21" t="s">
        <v>44</v>
      </c>
      <c r="K71" s="21" t="s">
        <v>26</v>
      </c>
      <c r="L71" s="21" t="s">
        <v>113</v>
      </c>
      <c r="M71" s="21" t="s">
        <v>28</v>
      </c>
      <c r="N71" s="21" t="s">
        <v>114</v>
      </c>
      <c r="O71" s="24">
        <v>45362</v>
      </c>
      <c r="P71" s="21" t="s">
        <v>30</v>
      </c>
      <c r="Q71" s="21" t="s">
        <v>235</v>
      </c>
      <c r="R71" s="21" t="str">
        <f t="shared" si="6"/>
        <v>-</v>
      </c>
      <c r="S71" s="23" t="str">
        <f t="shared" si="7"/>
        <v>-</v>
      </c>
      <c r="T71" s="21" t="str">
        <f t="shared" si="8"/>
        <v>Mismatched</v>
      </c>
      <c r="U71" s="2" t="str">
        <f>IF(COUNTIFS($B$2:B71,B71,$F$2:F71,F71,$H$2:H71,H71)&gt;1,"DUPLICATE","OK")</f>
        <v>OK</v>
      </c>
    </row>
    <row r="72" spans="1:21" x14ac:dyDescent="0.35">
      <c r="A72" s="21" t="s">
        <v>251</v>
      </c>
      <c r="B72" s="21" t="s">
        <v>39</v>
      </c>
      <c r="C72" s="21" t="s">
        <v>48</v>
      </c>
      <c r="D72" s="22">
        <v>45360</v>
      </c>
      <c r="E72" s="22" t="s">
        <v>690</v>
      </c>
      <c r="F72" s="21" t="s">
        <v>252</v>
      </c>
      <c r="G72" s="21" t="s">
        <v>253</v>
      </c>
      <c r="H72" s="21">
        <v>57000</v>
      </c>
      <c r="I72" s="21" t="s">
        <v>43</v>
      </c>
      <c r="J72" s="21" t="s">
        <v>44</v>
      </c>
      <c r="K72" s="21" t="s">
        <v>26</v>
      </c>
      <c r="L72" s="21" t="s">
        <v>27</v>
      </c>
      <c r="M72" s="21" t="s">
        <v>28</v>
      </c>
      <c r="N72" s="21" t="s">
        <v>29</v>
      </c>
      <c r="O72" s="24">
        <v>45367</v>
      </c>
      <c r="P72" s="24">
        <v>45367</v>
      </c>
      <c r="Q72" s="21" t="s">
        <v>30</v>
      </c>
      <c r="R72" s="21">
        <f t="shared" si="6"/>
        <v>7</v>
      </c>
      <c r="S72" s="23" t="str">
        <f t="shared" si="7"/>
        <v>Yes</v>
      </c>
      <c r="T72" s="21" t="str">
        <f t="shared" si="8"/>
        <v>Matched</v>
      </c>
      <c r="U72" s="2" t="str">
        <f>IF(COUNTIFS($B$2:B72,B72,$F$2:F72,F72,$H$2:H72,H72)&gt;1,"DUPLICATE","OK")</f>
        <v>OK</v>
      </c>
    </row>
    <row r="73" spans="1:21" x14ac:dyDescent="0.35">
      <c r="A73" s="21" t="s">
        <v>266</v>
      </c>
      <c r="B73" s="21" t="s">
        <v>39</v>
      </c>
      <c r="C73" s="21" t="s">
        <v>21</v>
      </c>
      <c r="D73" s="22">
        <v>45365</v>
      </c>
      <c r="E73" s="22" t="s">
        <v>690</v>
      </c>
      <c r="F73" s="21" t="s">
        <v>267</v>
      </c>
      <c r="G73" s="21" t="s">
        <v>268</v>
      </c>
      <c r="H73" s="21">
        <v>68000</v>
      </c>
      <c r="I73" s="21" t="s">
        <v>43</v>
      </c>
      <c r="J73" s="21" t="s">
        <v>44</v>
      </c>
      <c r="K73" s="21" t="s">
        <v>26</v>
      </c>
      <c r="L73" s="21" t="s">
        <v>27</v>
      </c>
      <c r="M73" s="21" t="s">
        <v>28</v>
      </c>
      <c r="N73" s="21" t="s">
        <v>29</v>
      </c>
      <c r="O73" s="24">
        <v>45372</v>
      </c>
      <c r="P73" s="24">
        <v>45372</v>
      </c>
      <c r="Q73" s="21" t="s">
        <v>30</v>
      </c>
      <c r="R73" s="21">
        <f t="shared" si="6"/>
        <v>7</v>
      </c>
      <c r="S73" s="23" t="str">
        <f t="shared" si="7"/>
        <v>Yes</v>
      </c>
      <c r="T73" s="21" t="str">
        <f t="shared" si="8"/>
        <v>Matched</v>
      </c>
      <c r="U73" s="2" t="str">
        <f>IF(COUNTIFS($B$2:B73,B73,$F$2:F73,F73,$H$2:H73,H73)&gt;1,"DUPLICATE","OK")</f>
        <v>OK</v>
      </c>
    </row>
    <row r="74" spans="1:21" x14ac:dyDescent="0.35">
      <c r="A74" s="21" t="s">
        <v>279</v>
      </c>
      <c r="B74" s="21" t="s">
        <v>39</v>
      </c>
      <c r="C74" s="21" t="s">
        <v>33</v>
      </c>
      <c r="D74" s="22">
        <v>45370</v>
      </c>
      <c r="E74" s="22" t="s">
        <v>690</v>
      </c>
      <c r="F74" s="21" t="s">
        <v>280</v>
      </c>
      <c r="G74" s="21" t="s">
        <v>281</v>
      </c>
      <c r="H74" s="21">
        <v>76000</v>
      </c>
      <c r="I74" s="21" t="s">
        <v>43</v>
      </c>
      <c r="J74" s="21" t="s">
        <v>44</v>
      </c>
      <c r="K74" s="21" t="s">
        <v>26</v>
      </c>
      <c r="L74" s="21" t="s">
        <v>27</v>
      </c>
      <c r="M74" s="21" t="s">
        <v>28</v>
      </c>
      <c r="N74" s="21" t="s">
        <v>29</v>
      </c>
      <c r="O74" s="24">
        <v>45377</v>
      </c>
      <c r="P74" s="24">
        <v>45377</v>
      </c>
      <c r="Q74" s="21" t="s">
        <v>30</v>
      </c>
      <c r="R74" s="21">
        <f t="shared" si="6"/>
        <v>7</v>
      </c>
      <c r="S74" s="23" t="str">
        <f t="shared" si="7"/>
        <v>Yes</v>
      </c>
      <c r="T74" s="21" t="str">
        <f t="shared" si="8"/>
        <v>Matched</v>
      </c>
      <c r="U74" s="2" t="str">
        <f>IF(COUNTIFS($B$2:B74,B74,$F$2:F74,F74,$H$2:H74,H74)&gt;1,"DUPLICATE","OK")</f>
        <v>OK</v>
      </c>
    </row>
    <row r="75" spans="1:21" x14ac:dyDescent="0.35">
      <c r="A75" s="21" t="s">
        <v>294</v>
      </c>
      <c r="B75" s="21" t="s">
        <v>39</v>
      </c>
      <c r="C75" s="21" t="s">
        <v>40</v>
      </c>
      <c r="D75" s="22">
        <v>45375</v>
      </c>
      <c r="E75" s="22" t="s">
        <v>690</v>
      </c>
      <c r="F75" s="21" t="s">
        <v>295</v>
      </c>
      <c r="G75" s="21" t="s">
        <v>296</v>
      </c>
      <c r="H75" s="21">
        <v>43000</v>
      </c>
      <c r="I75" s="21" t="s">
        <v>43</v>
      </c>
      <c r="J75" s="21" t="s">
        <v>44</v>
      </c>
      <c r="K75" s="21" t="s">
        <v>26</v>
      </c>
      <c r="L75" s="21" t="s">
        <v>27</v>
      </c>
      <c r="M75" s="21" t="s">
        <v>62</v>
      </c>
      <c r="N75" s="21" t="s">
        <v>29</v>
      </c>
      <c r="O75" s="24">
        <v>45382</v>
      </c>
      <c r="P75" s="24">
        <v>45382</v>
      </c>
      <c r="Q75" s="21" t="s">
        <v>30</v>
      </c>
      <c r="R75" s="21">
        <f t="shared" si="6"/>
        <v>7</v>
      </c>
      <c r="S75" s="23" t="str">
        <f t="shared" si="7"/>
        <v>Yes</v>
      </c>
      <c r="T75" s="21" t="str">
        <f t="shared" si="8"/>
        <v>Matched</v>
      </c>
      <c r="U75" s="2" t="str">
        <f>IF(COUNTIFS($B$2:B75,B75,$F$2:F75,F75,$H$2:H75,H75)&gt;1,"DUPLICATE","OK")</f>
        <v>OK</v>
      </c>
    </row>
    <row r="76" spans="1:21" x14ac:dyDescent="0.35">
      <c r="A76" s="21" t="s">
        <v>309</v>
      </c>
      <c r="B76" s="21" t="s">
        <v>39</v>
      </c>
      <c r="C76" s="21" t="s">
        <v>48</v>
      </c>
      <c r="D76" s="22">
        <v>45380</v>
      </c>
      <c r="E76" s="22" t="s">
        <v>690</v>
      </c>
      <c r="F76" s="21" t="s">
        <v>310</v>
      </c>
      <c r="G76" s="21" t="s">
        <v>311</v>
      </c>
      <c r="H76" s="21">
        <v>54000</v>
      </c>
      <c r="I76" s="21" t="s">
        <v>43</v>
      </c>
      <c r="J76" s="21" t="s">
        <v>44</v>
      </c>
      <c r="K76" s="21" t="s">
        <v>26</v>
      </c>
      <c r="L76" s="21" t="s">
        <v>27</v>
      </c>
      <c r="M76" s="21" t="s">
        <v>28</v>
      </c>
      <c r="N76" s="21" t="s">
        <v>29</v>
      </c>
      <c r="O76" s="24">
        <v>45387</v>
      </c>
      <c r="P76" s="24">
        <v>45387</v>
      </c>
      <c r="Q76" s="21" t="s">
        <v>30</v>
      </c>
      <c r="R76" s="21">
        <f t="shared" si="6"/>
        <v>7</v>
      </c>
      <c r="S76" s="23" t="str">
        <f t="shared" si="7"/>
        <v>Yes</v>
      </c>
      <c r="T76" s="21" t="str">
        <f t="shared" si="8"/>
        <v>Matched</v>
      </c>
      <c r="U76" s="2" t="str">
        <f>IF(COUNTIFS($B$2:B76,B76,$F$2:F76,F76,$H$2:H76,H76)&gt;1,"DUPLICATE","OK")</f>
        <v>OK</v>
      </c>
    </row>
    <row r="77" spans="1:21" x14ac:dyDescent="0.35">
      <c r="A77" s="21" t="s">
        <v>236</v>
      </c>
      <c r="B77" s="21" t="s">
        <v>32</v>
      </c>
      <c r="C77" s="21" t="s">
        <v>33</v>
      </c>
      <c r="D77" s="22">
        <v>45354</v>
      </c>
      <c r="E77" s="22" t="s">
        <v>690</v>
      </c>
      <c r="F77" s="21" t="s">
        <v>237</v>
      </c>
      <c r="G77" s="21" t="s">
        <v>233</v>
      </c>
      <c r="H77" s="21">
        <v>48000</v>
      </c>
      <c r="I77" s="21" t="s">
        <v>36</v>
      </c>
      <c r="J77" s="21" t="s">
        <v>37</v>
      </c>
      <c r="K77" s="21" t="s">
        <v>26</v>
      </c>
      <c r="L77" s="21" t="s">
        <v>27</v>
      </c>
      <c r="M77" s="21" t="s">
        <v>28</v>
      </c>
      <c r="N77" s="21" t="s">
        <v>114</v>
      </c>
      <c r="O77" s="24">
        <v>45361</v>
      </c>
      <c r="P77" s="21" t="s">
        <v>30</v>
      </c>
      <c r="Q77" s="21" t="s">
        <v>238</v>
      </c>
      <c r="R77" s="21" t="str">
        <f t="shared" si="6"/>
        <v>-</v>
      </c>
      <c r="S77" s="23" t="str">
        <f t="shared" si="7"/>
        <v>-</v>
      </c>
      <c r="T77" s="21" t="str">
        <f t="shared" si="8"/>
        <v>Mismatched</v>
      </c>
      <c r="U77" s="2" t="str">
        <f>IF(COUNTIFS($B$2:B77,B77,$F$2:F77,F77,$H$2:H77,H77)&gt;1,"DUPLICATE","OK")</f>
        <v>OK</v>
      </c>
    </row>
    <row r="78" spans="1:21" x14ac:dyDescent="0.35">
      <c r="A78" s="21" t="s">
        <v>248</v>
      </c>
      <c r="B78" s="21" t="s">
        <v>32</v>
      </c>
      <c r="C78" s="21" t="s">
        <v>40</v>
      </c>
      <c r="D78" s="22">
        <v>45359</v>
      </c>
      <c r="E78" s="22" t="s">
        <v>690</v>
      </c>
      <c r="F78" s="21" t="s">
        <v>249</v>
      </c>
      <c r="G78" s="21" t="s">
        <v>250</v>
      </c>
      <c r="H78" s="21">
        <v>86000</v>
      </c>
      <c r="I78" s="21" t="s">
        <v>36</v>
      </c>
      <c r="J78" s="21" t="s">
        <v>37</v>
      </c>
      <c r="K78" s="21" t="s">
        <v>26</v>
      </c>
      <c r="L78" s="21" t="s">
        <v>27</v>
      </c>
      <c r="M78" s="21" t="s">
        <v>28</v>
      </c>
      <c r="N78" s="21" t="s">
        <v>29</v>
      </c>
      <c r="O78" s="24">
        <v>45366</v>
      </c>
      <c r="P78" s="24">
        <v>45366</v>
      </c>
      <c r="Q78" s="21" t="s">
        <v>30</v>
      </c>
      <c r="R78" s="21">
        <f t="shared" si="6"/>
        <v>7</v>
      </c>
      <c r="S78" s="23" t="str">
        <f t="shared" si="7"/>
        <v>Yes</v>
      </c>
      <c r="T78" s="21" t="str">
        <f t="shared" si="8"/>
        <v>Matched</v>
      </c>
      <c r="U78" s="2" t="str">
        <f>IF(COUNTIFS($B$2:B78,B78,$F$2:F78,F78,$H$2:H78,H78)&gt;1,"DUPLICATE","OK")</f>
        <v>OK</v>
      </c>
    </row>
    <row r="79" spans="1:21" x14ac:dyDescent="0.35">
      <c r="A79" s="21" t="s">
        <v>263</v>
      </c>
      <c r="B79" s="21" t="s">
        <v>32</v>
      </c>
      <c r="C79" s="21" t="s">
        <v>48</v>
      </c>
      <c r="D79" s="22">
        <v>45364</v>
      </c>
      <c r="E79" s="22" t="s">
        <v>690</v>
      </c>
      <c r="F79" s="21" t="s">
        <v>264</v>
      </c>
      <c r="G79" s="21" t="s">
        <v>265</v>
      </c>
      <c r="H79" s="21">
        <v>103000</v>
      </c>
      <c r="I79" s="21" t="s">
        <v>36</v>
      </c>
      <c r="J79" s="21" t="s">
        <v>37</v>
      </c>
      <c r="K79" s="21" t="s">
        <v>26</v>
      </c>
      <c r="L79" s="21" t="s">
        <v>27</v>
      </c>
      <c r="M79" s="21" t="s">
        <v>28</v>
      </c>
      <c r="N79" s="21" t="s">
        <v>29</v>
      </c>
      <c r="O79" s="24">
        <v>45371</v>
      </c>
      <c r="P79" s="24">
        <v>45371</v>
      </c>
      <c r="Q79" s="21" t="s">
        <v>30</v>
      </c>
      <c r="R79" s="21">
        <f t="shared" si="6"/>
        <v>7</v>
      </c>
      <c r="S79" s="23" t="str">
        <f t="shared" si="7"/>
        <v>Yes</v>
      </c>
      <c r="T79" s="21" t="str">
        <f t="shared" si="8"/>
        <v>Matched</v>
      </c>
      <c r="U79" s="2" t="str">
        <f>IF(COUNTIFS($B$2:B79,B79,$F$2:F79,F79,$H$2:H79,H79)&gt;1,"DUPLICATE","OK")</f>
        <v>OK</v>
      </c>
    </row>
    <row r="80" spans="1:21" x14ac:dyDescent="0.35">
      <c r="A80" s="21" t="s">
        <v>277</v>
      </c>
      <c r="B80" s="21" t="s">
        <v>32</v>
      </c>
      <c r="C80" s="21" t="s">
        <v>21</v>
      </c>
      <c r="D80" s="22">
        <v>45369</v>
      </c>
      <c r="E80" s="22" t="s">
        <v>690</v>
      </c>
      <c r="F80" s="21" t="s">
        <v>278</v>
      </c>
      <c r="G80" s="21" t="s">
        <v>233</v>
      </c>
      <c r="H80" s="21">
        <v>124000</v>
      </c>
      <c r="I80" s="21" t="s">
        <v>36</v>
      </c>
      <c r="J80" s="21" t="s">
        <v>37</v>
      </c>
      <c r="K80" s="21" t="s">
        <v>26</v>
      </c>
      <c r="L80" s="21" t="s">
        <v>27</v>
      </c>
      <c r="M80" s="21" t="s">
        <v>28</v>
      </c>
      <c r="N80" s="21" t="s">
        <v>114</v>
      </c>
      <c r="O80" s="24">
        <v>45376</v>
      </c>
      <c r="P80" s="21" t="s">
        <v>30</v>
      </c>
      <c r="Q80" s="21" t="s">
        <v>238</v>
      </c>
      <c r="R80" s="21" t="str">
        <f t="shared" si="6"/>
        <v>-</v>
      </c>
      <c r="S80" s="23" t="str">
        <f t="shared" si="7"/>
        <v>-</v>
      </c>
      <c r="T80" s="21" t="str">
        <f t="shared" si="8"/>
        <v>Mismatched</v>
      </c>
      <c r="U80" s="2" t="str">
        <f>IF(COUNTIFS($B$2:B80,B80,$F$2:F80,F80,$H$2:H80,H80)&gt;1,"DUPLICATE","OK")</f>
        <v>OK</v>
      </c>
    </row>
    <row r="81" spans="1:21" x14ac:dyDescent="0.35">
      <c r="A81" s="21" t="s">
        <v>291</v>
      </c>
      <c r="B81" s="21" t="s">
        <v>32</v>
      </c>
      <c r="C81" s="21" t="s">
        <v>33</v>
      </c>
      <c r="D81" s="22">
        <v>45374</v>
      </c>
      <c r="E81" s="22" t="s">
        <v>690</v>
      </c>
      <c r="F81" s="21" t="s">
        <v>292</v>
      </c>
      <c r="G81" s="21" t="s">
        <v>293</v>
      </c>
      <c r="H81" s="21">
        <v>87000</v>
      </c>
      <c r="I81" s="21" t="s">
        <v>36</v>
      </c>
      <c r="J81" s="21" t="s">
        <v>37</v>
      </c>
      <c r="K81" s="21" t="s">
        <v>26</v>
      </c>
      <c r="L81" s="21" t="s">
        <v>27</v>
      </c>
      <c r="M81" s="21" t="s">
        <v>28</v>
      </c>
      <c r="N81" s="21" t="s">
        <v>29</v>
      </c>
      <c r="O81" s="24">
        <v>45381</v>
      </c>
      <c r="P81" s="24">
        <v>45381</v>
      </c>
      <c r="Q81" s="21" t="s">
        <v>30</v>
      </c>
      <c r="R81" s="21">
        <f t="shared" si="6"/>
        <v>7</v>
      </c>
      <c r="S81" s="23" t="str">
        <f t="shared" si="7"/>
        <v>Yes</v>
      </c>
      <c r="T81" s="21" t="str">
        <f t="shared" si="8"/>
        <v>Matched</v>
      </c>
      <c r="U81" s="2" t="str">
        <f>IF(COUNTIFS($B$2:B81,B81,$F$2:F81,F81,$H$2:H81,H81)&gt;1,"DUPLICATE","OK")</f>
        <v>OK</v>
      </c>
    </row>
    <row r="82" spans="1:21" x14ac:dyDescent="0.35">
      <c r="A82" s="21" t="s">
        <v>306</v>
      </c>
      <c r="B82" s="21" t="s">
        <v>32</v>
      </c>
      <c r="C82" s="21" t="s">
        <v>40</v>
      </c>
      <c r="D82" s="22">
        <v>45379</v>
      </c>
      <c r="E82" s="22" t="s">
        <v>690</v>
      </c>
      <c r="F82" s="21" t="s">
        <v>307</v>
      </c>
      <c r="G82" s="21" t="s">
        <v>308</v>
      </c>
      <c r="H82" s="21">
        <v>115000</v>
      </c>
      <c r="I82" s="21" t="s">
        <v>36</v>
      </c>
      <c r="J82" s="21" t="s">
        <v>37</v>
      </c>
      <c r="K82" s="21" t="s">
        <v>26</v>
      </c>
      <c r="L82" s="21" t="s">
        <v>113</v>
      </c>
      <c r="M82" s="21" t="s">
        <v>45</v>
      </c>
      <c r="N82" s="21" t="s">
        <v>114</v>
      </c>
      <c r="O82" s="24">
        <v>45386</v>
      </c>
      <c r="P82" s="21" t="s">
        <v>30</v>
      </c>
      <c r="Q82" s="21" t="s">
        <v>115</v>
      </c>
      <c r="R82" s="21" t="str">
        <f t="shared" si="6"/>
        <v>-</v>
      </c>
      <c r="S82" s="23" t="str">
        <f t="shared" si="7"/>
        <v>-</v>
      </c>
      <c r="T82" s="21" t="str">
        <f t="shared" si="8"/>
        <v>Matched</v>
      </c>
      <c r="U82" s="2" t="str">
        <f>IF(COUNTIFS($B$2:B82,B82,$F$2:F82,F82,$H$2:H82,H82)&gt;1,"DUPLICATE","OK")</f>
        <v>OK</v>
      </c>
    </row>
    <row r="83" spans="1:21" x14ac:dyDescent="0.35">
      <c r="A83" s="21" t="s">
        <v>275</v>
      </c>
      <c r="B83" s="21" t="s">
        <v>20</v>
      </c>
      <c r="C83" s="21" t="s">
        <v>48</v>
      </c>
      <c r="D83" s="22">
        <v>45368</v>
      </c>
      <c r="E83" s="22" t="s">
        <v>690</v>
      </c>
      <c r="F83" s="21" t="s">
        <v>233</v>
      </c>
      <c r="G83" s="21" t="s">
        <v>276</v>
      </c>
      <c r="H83" s="21">
        <v>38000</v>
      </c>
      <c r="I83" s="21" t="s">
        <v>24</v>
      </c>
      <c r="J83" s="21" t="s">
        <v>25</v>
      </c>
      <c r="K83" s="21" t="s">
        <v>26</v>
      </c>
      <c r="L83" s="21" t="s">
        <v>113</v>
      </c>
      <c r="M83" s="21" t="s">
        <v>62</v>
      </c>
      <c r="N83" s="21" t="s">
        <v>114</v>
      </c>
      <c r="O83" s="24">
        <v>45375</v>
      </c>
      <c r="P83" s="21" t="s">
        <v>30</v>
      </c>
      <c r="Q83" s="21" t="s">
        <v>235</v>
      </c>
      <c r="R83" s="21" t="str">
        <f t="shared" si="6"/>
        <v>-</v>
      </c>
      <c r="S83" s="23" t="str">
        <f t="shared" si="7"/>
        <v>-</v>
      </c>
      <c r="T83" s="21" t="str">
        <f t="shared" si="8"/>
        <v>Mismatched</v>
      </c>
      <c r="U83" s="2" t="str">
        <f>IF(COUNTIFS($B$2:B83,B83,$F$2:F83,F83,$H$2:H83,H83)&gt;1,"DUPLICATE","OK")</f>
        <v>OK</v>
      </c>
    </row>
    <row r="84" spans="1:21" x14ac:dyDescent="0.35">
      <c r="A84" s="21" t="s">
        <v>232</v>
      </c>
      <c r="B84" s="21" t="s">
        <v>20</v>
      </c>
      <c r="C84" s="21" t="s">
        <v>21</v>
      </c>
      <c r="D84" s="22">
        <v>45353</v>
      </c>
      <c r="E84" s="22" t="s">
        <v>690</v>
      </c>
      <c r="F84" s="21" t="s">
        <v>233</v>
      </c>
      <c r="G84" s="21" t="s">
        <v>234</v>
      </c>
      <c r="H84" s="21">
        <v>74000</v>
      </c>
      <c r="I84" s="21" t="s">
        <v>24</v>
      </c>
      <c r="J84" s="21" t="s">
        <v>25</v>
      </c>
      <c r="K84" s="21" t="s">
        <v>26</v>
      </c>
      <c r="L84" s="21" t="s">
        <v>113</v>
      </c>
      <c r="M84" s="21" t="s">
        <v>45</v>
      </c>
      <c r="N84" s="21" t="s">
        <v>114</v>
      </c>
      <c r="O84" s="24">
        <v>45360</v>
      </c>
      <c r="P84" s="21" t="s">
        <v>30</v>
      </c>
      <c r="Q84" s="21" t="s">
        <v>235</v>
      </c>
      <c r="R84" s="21" t="str">
        <f t="shared" si="6"/>
        <v>-</v>
      </c>
      <c r="S84" s="23" t="str">
        <f t="shared" si="7"/>
        <v>-</v>
      </c>
      <c r="T84" s="21" t="str">
        <f t="shared" si="8"/>
        <v>Mismatched</v>
      </c>
      <c r="U84" s="2" t="str">
        <f>IF(COUNTIFS($B$2:B84,B84,$F$2:F84,F84,$H$2:H84,H84)&gt;1,"DUPLICATE","OK")</f>
        <v>OK</v>
      </c>
    </row>
    <row r="85" spans="1:21" x14ac:dyDescent="0.35">
      <c r="A85" s="21" t="s">
        <v>245</v>
      </c>
      <c r="B85" s="21" t="s">
        <v>20</v>
      </c>
      <c r="C85" s="21" t="s">
        <v>33</v>
      </c>
      <c r="D85" s="22">
        <v>45358</v>
      </c>
      <c r="E85" s="22" t="s">
        <v>690</v>
      </c>
      <c r="F85" s="21" t="s">
        <v>246</v>
      </c>
      <c r="G85" s="21" t="s">
        <v>247</v>
      </c>
      <c r="H85" s="21">
        <v>31000</v>
      </c>
      <c r="I85" s="21" t="s">
        <v>24</v>
      </c>
      <c r="J85" s="21" t="s">
        <v>25</v>
      </c>
      <c r="K85" s="21" t="s">
        <v>26</v>
      </c>
      <c r="L85" s="21" t="s">
        <v>27</v>
      </c>
      <c r="M85" s="21" t="s">
        <v>62</v>
      </c>
      <c r="N85" s="21" t="s">
        <v>29</v>
      </c>
      <c r="O85" s="24">
        <v>45365</v>
      </c>
      <c r="P85" s="24">
        <v>45365</v>
      </c>
      <c r="Q85" s="21" t="s">
        <v>30</v>
      </c>
      <c r="R85" s="21">
        <f t="shared" si="6"/>
        <v>7</v>
      </c>
      <c r="S85" s="23" t="str">
        <f t="shared" si="7"/>
        <v>Yes</v>
      </c>
      <c r="T85" s="21" t="str">
        <f t="shared" si="8"/>
        <v>Matched</v>
      </c>
      <c r="U85" s="2" t="str">
        <f>IF(COUNTIFS($B$2:B85,B85,$F$2:F85,F85,$H$2:H85,H85)&gt;1,"DUPLICATE","OK")</f>
        <v>OK</v>
      </c>
    </row>
    <row r="86" spans="1:21" x14ac:dyDescent="0.35">
      <c r="A86" s="21" t="s">
        <v>260</v>
      </c>
      <c r="B86" s="21" t="s">
        <v>20</v>
      </c>
      <c r="C86" s="21" t="s">
        <v>40</v>
      </c>
      <c r="D86" s="22">
        <v>45363</v>
      </c>
      <c r="E86" s="22" t="s">
        <v>690</v>
      </c>
      <c r="F86" s="21" t="s">
        <v>261</v>
      </c>
      <c r="G86" s="21" t="s">
        <v>262</v>
      </c>
      <c r="H86" s="21">
        <v>46000</v>
      </c>
      <c r="I86" s="21" t="s">
        <v>24</v>
      </c>
      <c r="J86" s="21" t="s">
        <v>25</v>
      </c>
      <c r="K86" s="21" t="s">
        <v>26</v>
      </c>
      <c r="L86" s="21" t="s">
        <v>27</v>
      </c>
      <c r="M86" s="21" t="s">
        <v>62</v>
      </c>
      <c r="N86" s="21" t="s">
        <v>29</v>
      </c>
      <c r="O86" s="24">
        <v>45370</v>
      </c>
      <c r="P86" s="24">
        <v>45370</v>
      </c>
      <c r="Q86" s="21" t="s">
        <v>30</v>
      </c>
      <c r="R86" s="21">
        <f t="shared" si="6"/>
        <v>7</v>
      </c>
      <c r="S86" s="23" t="str">
        <f t="shared" si="7"/>
        <v>Yes</v>
      </c>
      <c r="T86" s="21" t="str">
        <f t="shared" si="8"/>
        <v>Matched</v>
      </c>
      <c r="U86" s="2" t="str">
        <f>IF(COUNTIFS($B$2:B86,B86,$F$2:F86,F86,$H$2:H86,H86)&gt;1,"DUPLICATE","OK")</f>
        <v>OK</v>
      </c>
    </row>
    <row r="87" spans="1:21" x14ac:dyDescent="0.35">
      <c r="A87" s="21" t="s">
        <v>288</v>
      </c>
      <c r="B87" s="21" t="s">
        <v>20</v>
      </c>
      <c r="C87" s="21" t="s">
        <v>21</v>
      </c>
      <c r="D87" s="22">
        <v>45373</v>
      </c>
      <c r="E87" s="22" t="s">
        <v>690</v>
      </c>
      <c r="F87" s="21" t="s">
        <v>289</v>
      </c>
      <c r="G87" s="21" t="s">
        <v>290</v>
      </c>
      <c r="H87" s="21">
        <v>51000</v>
      </c>
      <c r="I87" s="21" t="s">
        <v>24</v>
      </c>
      <c r="J87" s="21" t="s">
        <v>25</v>
      </c>
      <c r="K87" s="21" t="s">
        <v>26</v>
      </c>
      <c r="L87" s="21" t="s">
        <v>27</v>
      </c>
      <c r="M87" s="21" t="s">
        <v>28</v>
      </c>
      <c r="N87" s="21" t="s">
        <v>29</v>
      </c>
      <c r="O87" s="24">
        <v>45380</v>
      </c>
      <c r="P87" s="24">
        <v>45380</v>
      </c>
      <c r="Q87" s="21" t="s">
        <v>30</v>
      </c>
      <c r="R87" s="21">
        <f t="shared" si="6"/>
        <v>7</v>
      </c>
      <c r="S87" s="23" t="str">
        <f t="shared" si="7"/>
        <v>Yes</v>
      </c>
      <c r="T87" s="21" t="str">
        <f t="shared" si="8"/>
        <v>Matched</v>
      </c>
      <c r="U87" s="2" t="str">
        <f>IF(COUNTIFS($B$2:B87,B87,$F$2:F87,F87,$H$2:H87,H87)&gt;1,"DUPLICATE","OK")</f>
        <v>OK</v>
      </c>
    </row>
    <row r="88" spans="1:21" x14ac:dyDescent="0.35">
      <c r="A88" s="21" t="s">
        <v>303</v>
      </c>
      <c r="B88" s="21" t="s">
        <v>20</v>
      </c>
      <c r="C88" s="21" t="s">
        <v>33</v>
      </c>
      <c r="D88" s="22">
        <v>45378</v>
      </c>
      <c r="E88" s="22" t="s">
        <v>690</v>
      </c>
      <c r="F88" s="21" t="s">
        <v>304</v>
      </c>
      <c r="G88" s="21" t="s">
        <v>305</v>
      </c>
      <c r="H88" s="21">
        <v>28000</v>
      </c>
      <c r="I88" s="21" t="s">
        <v>24</v>
      </c>
      <c r="J88" s="21" t="s">
        <v>25</v>
      </c>
      <c r="K88" s="21" t="s">
        <v>26</v>
      </c>
      <c r="L88" s="21" t="s">
        <v>27</v>
      </c>
      <c r="M88" s="21" t="s">
        <v>62</v>
      </c>
      <c r="N88" s="21" t="s">
        <v>108</v>
      </c>
      <c r="O88" s="24">
        <v>45385</v>
      </c>
      <c r="P88" s="21" t="s">
        <v>30</v>
      </c>
      <c r="Q88" s="21" t="s">
        <v>109</v>
      </c>
      <c r="R88" s="21" t="str">
        <f t="shared" si="6"/>
        <v>-</v>
      </c>
      <c r="S88" s="23" t="str">
        <f t="shared" si="7"/>
        <v>-</v>
      </c>
      <c r="T88" s="21" t="str">
        <f t="shared" si="8"/>
        <v>Matched</v>
      </c>
      <c r="U88" s="2" t="str">
        <f>IF(COUNTIFS($B$2:B88,B88,$F$2:F88,F88,$H$2:H88,H88)&gt;1,"DUPLICATE","OK")</f>
        <v>OK</v>
      </c>
    </row>
    <row r="89" spans="1:21" x14ac:dyDescent="0.35">
      <c r="A89" s="21" t="s">
        <v>243</v>
      </c>
      <c r="B89" s="21" t="s">
        <v>54</v>
      </c>
      <c r="C89" s="21" t="s">
        <v>21</v>
      </c>
      <c r="D89" s="22">
        <v>45357</v>
      </c>
      <c r="E89" s="22" t="s">
        <v>690</v>
      </c>
      <c r="F89" s="21" t="s">
        <v>233</v>
      </c>
      <c r="G89" s="21" t="s">
        <v>244</v>
      </c>
      <c r="H89" s="21">
        <v>153000</v>
      </c>
      <c r="I89" s="21" t="s">
        <v>57</v>
      </c>
      <c r="J89" s="21" t="s">
        <v>58</v>
      </c>
      <c r="K89" s="21" t="s">
        <v>26</v>
      </c>
      <c r="L89" s="21" t="s">
        <v>113</v>
      </c>
      <c r="M89" s="21" t="s">
        <v>45</v>
      </c>
      <c r="N89" s="21" t="s">
        <v>114</v>
      </c>
      <c r="O89" s="24">
        <v>45364</v>
      </c>
      <c r="P89" s="21" t="s">
        <v>30</v>
      </c>
      <c r="Q89" s="21" t="s">
        <v>235</v>
      </c>
      <c r="R89" s="21" t="str">
        <f t="shared" si="6"/>
        <v>-</v>
      </c>
      <c r="S89" s="23" t="str">
        <f t="shared" si="7"/>
        <v>-</v>
      </c>
      <c r="T89" s="21" t="str">
        <f t="shared" si="8"/>
        <v>Mismatched</v>
      </c>
      <c r="U89" s="2" t="str">
        <f>IF(COUNTIFS($B$2:B89,B89,$F$2:F89,F89,$H$2:H89,H89)&gt;1,"DUPLICATE","OK")</f>
        <v>OK</v>
      </c>
    </row>
    <row r="90" spans="1:21" x14ac:dyDescent="0.35">
      <c r="A90" s="21" t="s">
        <v>229</v>
      </c>
      <c r="B90" s="21" t="s">
        <v>54</v>
      </c>
      <c r="C90" s="21" t="s">
        <v>48</v>
      </c>
      <c r="D90" s="22">
        <v>45352</v>
      </c>
      <c r="E90" s="22" t="s">
        <v>690</v>
      </c>
      <c r="F90" s="21" t="s">
        <v>230</v>
      </c>
      <c r="G90" s="21" t="s">
        <v>231</v>
      </c>
      <c r="H90" s="21">
        <v>129000</v>
      </c>
      <c r="I90" s="21" t="s">
        <v>57</v>
      </c>
      <c r="J90" s="21" t="s">
        <v>58</v>
      </c>
      <c r="K90" s="21" t="s">
        <v>26</v>
      </c>
      <c r="L90" s="21" t="s">
        <v>27</v>
      </c>
      <c r="M90" s="21" t="s">
        <v>28</v>
      </c>
      <c r="N90" s="21" t="s">
        <v>29</v>
      </c>
      <c r="O90" s="24">
        <v>45359</v>
      </c>
      <c r="P90" s="24">
        <v>45359</v>
      </c>
      <c r="Q90" s="21" t="s">
        <v>30</v>
      </c>
      <c r="R90" s="21">
        <f t="shared" si="6"/>
        <v>7</v>
      </c>
      <c r="S90" s="23" t="str">
        <f t="shared" si="7"/>
        <v>Yes</v>
      </c>
      <c r="T90" s="21" t="str">
        <f t="shared" si="8"/>
        <v>Matched</v>
      </c>
      <c r="U90" s="2" t="str">
        <f>IF(COUNTIFS($B$2:B90,B90,$F$2:F90,F90,$H$2:H90,H90)&gt;1,"DUPLICATE","OK")</f>
        <v>OK</v>
      </c>
    </row>
    <row r="91" spans="1:21" x14ac:dyDescent="0.35">
      <c r="A91" s="21" t="s">
        <v>257</v>
      </c>
      <c r="B91" s="21" t="s">
        <v>54</v>
      </c>
      <c r="C91" s="21" t="s">
        <v>33</v>
      </c>
      <c r="D91" s="22">
        <v>45362</v>
      </c>
      <c r="E91" s="22" t="s">
        <v>690</v>
      </c>
      <c r="F91" s="21" t="s">
        <v>258</v>
      </c>
      <c r="G91" s="21" t="s">
        <v>259</v>
      </c>
      <c r="H91" s="21">
        <v>141000</v>
      </c>
      <c r="I91" s="21" t="s">
        <v>57</v>
      </c>
      <c r="J91" s="21" t="s">
        <v>58</v>
      </c>
      <c r="K91" s="21" t="s">
        <v>26</v>
      </c>
      <c r="L91" s="21" t="s">
        <v>27</v>
      </c>
      <c r="M91" s="21" t="s">
        <v>28</v>
      </c>
      <c r="N91" s="21" t="s">
        <v>29</v>
      </c>
      <c r="O91" s="24">
        <v>45369</v>
      </c>
      <c r="P91" s="24">
        <v>45369</v>
      </c>
      <c r="Q91" s="21" t="s">
        <v>30</v>
      </c>
      <c r="R91" s="21">
        <f t="shared" si="6"/>
        <v>7</v>
      </c>
      <c r="S91" s="23" t="str">
        <f t="shared" si="7"/>
        <v>Yes</v>
      </c>
      <c r="T91" s="21" t="str">
        <f t="shared" si="8"/>
        <v>Matched</v>
      </c>
      <c r="U91" s="2" t="str">
        <f>IF(COUNTIFS($B$2:B91,B91,$F$2:F91,F91,$H$2:H91,H91)&gt;1,"DUPLICATE","OK")</f>
        <v>OK</v>
      </c>
    </row>
    <row r="92" spans="1:21" x14ac:dyDescent="0.35">
      <c r="A92" s="21" t="s">
        <v>272</v>
      </c>
      <c r="B92" s="21" t="s">
        <v>54</v>
      </c>
      <c r="C92" s="21" t="s">
        <v>40</v>
      </c>
      <c r="D92" s="22">
        <v>45367</v>
      </c>
      <c r="E92" s="22" t="s">
        <v>690</v>
      </c>
      <c r="F92" s="21" t="s">
        <v>273</v>
      </c>
      <c r="G92" s="21" t="s">
        <v>274</v>
      </c>
      <c r="H92" s="21">
        <v>167000</v>
      </c>
      <c r="I92" s="21" t="s">
        <v>57</v>
      </c>
      <c r="J92" s="21" t="s">
        <v>58</v>
      </c>
      <c r="K92" s="21" t="s">
        <v>26</v>
      </c>
      <c r="L92" s="21" t="s">
        <v>27</v>
      </c>
      <c r="M92" s="21" t="s">
        <v>28</v>
      </c>
      <c r="N92" s="21" t="s">
        <v>29</v>
      </c>
      <c r="O92" s="24">
        <v>45374</v>
      </c>
      <c r="P92" s="24">
        <v>45374</v>
      </c>
      <c r="Q92" s="21" t="s">
        <v>30</v>
      </c>
      <c r="R92" s="21">
        <f t="shared" si="6"/>
        <v>7</v>
      </c>
      <c r="S92" s="23" t="str">
        <f t="shared" si="7"/>
        <v>Yes</v>
      </c>
      <c r="T92" s="21" t="str">
        <f t="shared" si="8"/>
        <v>Matched</v>
      </c>
      <c r="U92" s="2" t="str">
        <f>IF(COUNTIFS($B$2:B92,B92,$F$2:F92,F92,$H$2:H92,H92)&gt;1,"DUPLICATE","OK")</f>
        <v>OK</v>
      </c>
    </row>
    <row r="93" spans="1:21" x14ac:dyDescent="0.35">
      <c r="A93" s="21" t="s">
        <v>285</v>
      </c>
      <c r="B93" s="21" t="s">
        <v>54</v>
      </c>
      <c r="C93" s="21" t="s">
        <v>48</v>
      </c>
      <c r="D93" s="22">
        <v>45372</v>
      </c>
      <c r="E93" s="22" t="s">
        <v>690</v>
      </c>
      <c r="F93" s="21" t="s">
        <v>286</v>
      </c>
      <c r="G93" s="21" t="s">
        <v>287</v>
      </c>
      <c r="H93" s="21">
        <v>138000</v>
      </c>
      <c r="I93" s="21" t="s">
        <v>57</v>
      </c>
      <c r="J93" s="21" t="s">
        <v>58</v>
      </c>
      <c r="K93" s="21" t="s">
        <v>26</v>
      </c>
      <c r="L93" s="21" t="s">
        <v>27</v>
      </c>
      <c r="M93" s="21" t="s">
        <v>28</v>
      </c>
      <c r="N93" s="21" t="s">
        <v>29</v>
      </c>
      <c r="O93" s="24">
        <v>45379</v>
      </c>
      <c r="P93" s="24">
        <v>45379</v>
      </c>
      <c r="Q93" s="21" t="s">
        <v>30</v>
      </c>
      <c r="R93" s="21">
        <f t="shared" si="6"/>
        <v>7</v>
      </c>
      <c r="S93" s="23" t="str">
        <f t="shared" si="7"/>
        <v>Yes</v>
      </c>
      <c r="T93" s="21" t="str">
        <f t="shared" si="8"/>
        <v>Matched</v>
      </c>
      <c r="U93" s="2" t="str">
        <f>IF(COUNTIFS($B$2:B93,B93,$F$2:F93,F93,$H$2:H93,H93)&gt;1,"DUPLICATE","OK")</f>
        <v>OK</v>
      </c>
    </row>
    <row r="94" spans="1:21" x14ac:dyDescent="0.35">
      <c r="A94" s="21" t="s">
        <v>300</v>
      </c>
      <c r="B94" s="21" t="s">
        <v>54</v>
      </c>
      <c r="C94" s="21" t="s">
        <v>21</v>
      </c>
      <c r="D94" s="22">
        <v>45377</v>
      </c>
      <c r="E94" s="22" t="s">
        <v>690</v>
      </c>
      <c r="F94" s="21" t="s">
        <v>301</v>
      </c>
      <c r="G94" s="21" t="s">
        <v>302</v>
      </c>
      <c r="H94" s="21">
        <v>194000</v>
      </c>
      <c r="I94" s="21" t="s">
        <v>57</v>
      </c>
      <c r="J94" s="21" t="s">
        <v>58</v>
      </c>
      <c r="K94" s="21" t="s">
        <v>26</v>
      </c>
      <c r="L94" s="21" t="s">
        <v>27</v>
      </c>
      <c r="M94" s="21" t="s">
        <v>28</v>
      </c>
      <c r="N94" s="21" t="s">
        <v>29</v>
      </c>
      <c r="O94" s="24">
        <v>45384</v>
      </c>
      <c r="P94" s="24">
        <v>45384</v>
      </c>
      <c r="Q94" s="21" t="s">
        <v>30</v>
      </c>
      <c r="R94" s="21">
        <f t="shared" si="6"/>
        <v>7</v>
      </c>
      <c r="S94" s="23" t="str">
        <f t="shared" si="7"/>
        <v>Yes</v>
      </c>
      <c r="T94" s="21" t="str">
        <f t="shared" si="8"/>
        <v>Matched</v>
      </c>
      <c r="U94" s="2" t="str">
        <f>IF(COUNTIFS($B$2:B94,B94,$F$2:F94,F94,$H$2:H94,H94)&gt;1,"DUPLICATE","OK")</f>
        <v>OK</v>
      </c>
    </row>
    <row r="95" spans="1:21" x14ac:dyDescent="0.35">
      <c r="A95" s="21" t="s">
        <v>315</v>
      </c>
      <c r="B95" s="21" t="s">
        <v>54</v>
      </c>
      <c r="C95" s="21" t="s">
        <v>33</v>
      </c>
      <c r="D95" s="22">
        <v>45382</v>
      </c>
      <c r="E95" s="22" t="s">
        <v>690</v>
      </c>
      <c r="F95" s="21" t="s">
        <v>316</v>
      </c>
      <c r="G95" s="21" t="s">
        <v>317</v>
      </c>
      <c r="H95" s="21">
        <v>123000</v>
      </c>
      <c r="I95" s="21" t="s">
        <v>57</v>
      </c>
      <c r="J95" s="21" t="s">
        <v>58</v>
      </c>
      <c r="K95" s="21" t="s">
        <v>26</v>
      </c>
      <c r="L95" s="21" t="s">
        <v>27</v>
      </c>
      <c r="M95" s="21" t="s">
        <v>45</v>
      </c>
      <c r="N95" s="21" t="s">
        <v>29</v>
      </c>
      <c r="O95" s="24">
        <v>45389</v>
      </c>
      <c r="P95" s="24">
        <v>45388</v>
      </c>
      <c r="Q95" s="21" t="s">
        <v>30</v>
      </c>
      <c r="R95" s="21">
        <f t="shared" si="6"/>
        <v>6</v>
      </c>
      <c r="S95" s="23" t="str">
        <f t="shared" si="7"/>
        <v>Yes</v>
      </c>
      <c r="T95" s="21" t="str">
        <f t="shared" si="8"/>
        <v>Matched</v>
      </c>
      <c r="U95" s="2" t="str">
        <f>IF(COUNTIFS($B$2:B95,B95,$F$2:F95,F95,$H$2:H95,H95)&gt;1,"DUPLICATE","OK")</f>
        <v>OK</v>
      </c>
    </row>
    <row r="96" spans="1:21" x14ac:dyDescent="0.35">
      <c r="A96" s="21" t="s">
        <v>241</v>
      </c>
      <c r="B96" s="21" t="s">
        <v>47</v>
      </c>
      <c r="C96" s="21" t="s">
        <v>48</v>
      </c>
      <c r="D96" s="22">
        <v>45356</v>
      </c>
      <c r="E96" s="22" t="s">
        <v>690</v>
      </c>
      <c r="F96" s="21" t="s">
        <v>242</v>
      </c>
      <c r="G96" s="21" t="s">
        <v>233</v>
      </c>
      <c r="H96" s="21">
        <v>62000</v>
      </c>
      <c r="I96" s="21" t="s">
        <v>51</v>
      </c>
      <c r="J96" s="21" t="s">
        <v>52</v>
      </c>
      <c r="K96" s="21" t="s">
        <v>26</v>
      </c>
      <c r="L96" s="21" t="s">
        <v>27</v>
      </c>
      <c r="M96" s="21" t="s">
        <v>62</v>
      </c>
      <c r="N96" s="21" t="s">
        <v>114</v>
      </c>
      <c r="O96" s="24">
        <v>45363</v>
      </c>
      <c r="P96" s="21" t="s">
        <v>30</v>
      </c>
      <c r="Q96" s="21" t="s">
        <v>238</v>
      </c>
      <c r="R96" s="21" t="str">
        <f t="shared" si="6"/>
        <v>-</v>
      </c>
      <c r="S96" s="23" t="str">
        <f t="shared" si="7"/>
        <v>-</v>
      </c>
      <c r="T96" s="21" t="str">
        <f t="shared" si="8"/>
        <v>Mismatched</v>
      </c>
      <c r="U96" s="2" t="str">
        <f>IF(COUNTIFS($B$2:B96,B96,$F$2:F96,F96,$H$2:H96,H96)&gt;1,"DUPLICATE","OK")</f>
        <v>OK</v>
      </c>
    </row>
    <row r="97" spans="1:21" x14ac:dyDescent="0.35">
      <c r="A97" s="21" t="s">
        <v>254</v>
      </c>
      <c r="B97" s="21" t="s">
        <v>47</v>
      </c>
      <c r="C97" s="21" t="s">
        <v>21</v>
      </c>
      <c r="D97" s="22">
        <v>45361</v>
      </c>
      <c r="E97" s="22" t="s">
        <v>690</v>
      </c>
      <c r="F97" s="21" t="s">
        <v>255</v>
      </c>
      <c r="G97" s="21" t="s">
        <v>256</v>
      </c>
      <c r="H97" s="21">
        <v>72000</v>
      </c>
      <c r="I97" s="21" t="s">
        <v>51</v>
      </c>
      <c r="J97" s="21" t="s">
        <v>52</v>
      </c>
      <c r="K97" s="21" t="s">
        <v>26</v>
      </c>
      <c r="L97" s="21" t="s">
        <v>27</v>
      </c>
      <c r="M97" s="21" t="s">
        <v>45</v>
      </c>
      <c r="N97" s="21" t="s">
        <v>29</v>
      </c>
      <c r="O97" s="24">
        <v>45368</v>
      </c>
      <c r="P97" s="24">
        <v>45367</v>
      </c>
      <c r="Q97" s="21" t="s">
        <v>30</v>
      </c>
      <c r="R97" s="21">
        <f t="shared" si="6"/>
        <v>6</v>
      </c>
      <c r="S97" s="23" t="str">
        <f t="shared" si="7"/>
        <v>Yes</v>
      </c>
      <c r="T97" s="21" t="str">
        <f t="shared" si="8"/>
        <v>Matched</v>
      </c>
      <c r="U97" s="2" t="str">
        <f>IF(COUNTIFS($B$2:B97,B97,$F$2:F97,F97,$H$2:H97,H97)&gt;1,"DUPLICATE","OK")</f>
        <v>OK</v>
      </c>
    </row>
    <row r="98" spans="1:21" x14ac:dyDescent="0.35">
      <c r="A98" s="21" t="s">
        <v>269</v>
      </c>
      <c r="B98" s="21" t="s">
        <v>47</v>
      </c>
      <c r="C98" s="21" t="s">
        <v>33</v>
      </c>
      <c r="D98" s="22">
        <v>45366</v>
      </c>
      <c r="E98" s="22" t="s">
        <v>690</v>
      </c>
      <c r="F98" s="21" t="s">
        <v>270</v>
      </c>
      <c r="G98" s="21" t="s">
        <v>271</v>
      </c>
      <c r="H98" s="21">
        <v>55000</v>
      </c>
      <c r="I98" s="21" t="s">
        <v>51</v>
      </c>
      <c r="J98" s="21" t="s">
        <v>52</v>
      </c>
      <c r="K98" s="21" t="s">
        <v>26</v>
      </c>
      <c r="L98" s="21" t="s">
        <v>27</v>
      </c>
      <c r="M98" s="21" t="s">
        <v>45</v>
      </c>
      <c r="N98" s="21" t="s">
        <v>29</v>
      </c>
      <c r="O98" s="24">
        <v>45373</v>
      </c>
      <c r="P98" s="24">
        <v>45372</v>
      </c>
      <c r="Q98" s="21" t="s">
        <v>30</v>
      </c>
      <c r="R98" s="21">
        <f t="shared" ref="R98:R129" si="9">IF(P98="-","-",P98-D98)</f>
        <v>6</v>
      </c>
      <c r="S98" s="23" t="str">
        <f t="shared" ref="S98:S129" si="10">IF(R98="-","-",IF(R98&lt;=7,"Yes","No"))</f>
        <v>Yes</v>
      </c>
      <c r="T98" s="21" t="str">
        <f t="shared" ref="T98:T129" si="11">IF(AND(F98&lt;&gt;"MISSING",G98&lt;&gt;"MISSING"),"Matched","Mismatched")</f>
        <v>Matched</v>
      </c>
      <c r="U98" s="2" t="str">
        <f>IF(COUNTIFS($B$2:B98,B98,$F$2:F98,F98,$H$2:H98,H98)&gt;1,"DUPLICATE","OK")</f>
        <v>OK</v>
      </c>
    </row>
    <row r="99" spans="1:21" x14ac:dyDescent="0.35">
      <c r="A99" s="21" t="s">
        <v>282</v>
      </c>
      <c r="B99" s="21" t="s">
        <v>47</v>
      </c>
      <c r="C99" s="21" t="s">
        <v>40</v>
      </c>
      <c r="D99" s="22">
        <v>45371</v>
      </c>
      <c r="E99" s="22" t="s">
        <v>690</v>
      </c>
      <c r="F99" s="21" t="s">
        <v>283</v>
      </c>
      <c r="G99" s="21" t="s">
        <v>284</v>
      </c>
      <c r="H99" s="21">
        <v>59000</v>
      </c>
      <c r="I99" s="21" t="s">
        <v>51</v>
      </c>
      <c r="J99" s="21" t="s">
        <v>52</v>
      </c>
      <c r="K99" s="21" t="s">
        <v>26</v>
      </c>
      <c r="L99" s="21" t="s">
        <v>27</v>
      </c>
      <c r="M99" s="21" t="s">
        <v>45</v>
      </c>
      <c r="N99" s="21" t="s">
        <v>29</v>
      </c>
      <c r="O99" s="24">
        <v>45378</v>
      </c>
      <c r="P99" s="24">
        <v>45377</v>
      </c>
      <c r="Q99" s="21" t="s">
        <v>30</v>
      </c>
      <c r="R99" s="21">
        <f t="shared" si="9"/>
        <v>6</v>
      </c>
      <c r="S99" s="23" t="str">
        <f t="shared" si="10"/>
        <v>Yes</v>
      </c>
      <c r="T99" s="21" t="str">
        <f t="shared" si="11"/>
        <v>Matched</v>
      </c>
      <c r="U99" s="2" t="str">
        <f>IF(COUNTIFS($B$2:B99,B99,$F$2:F99,F99,$H$2:H99,H99)&gt;1,"DUPLICATE","OK")</f>
        <v>OK</v>
      </c>
    </row>
    <row r="100" spans="1:21" x14ac:dyDescent="0.35">
      <c r="A100" s="21" t="s">
        <v>297</v>
      </c>
      <c r="B100" s="21" t="s">
        <v>47</v>
      </c>
      <c r="C100" s="21" t="s">
        <v>48</v>
      </c>
      <c r="D100" s="22">
        <v>45376</v>
      </c>
      <c r="E100" s="22" t="s">
        <v>690</v>
      </c>
      <c r="F100" s="21" t="s">
        <v>298</v>
      </c>
      <c r="G100" s="21" t="s">
        <v>299</v>
      </c>
      <c r="H100" s="21">
        <v>69000</v>
      </c>
      <c r="I100" s="21" t="s">
        <v>51</v>
      </c>
      <c r="J100" s="21" t="s">
        <v>52</v>
      </c>
      <c r="K100" s="21" t="s">
        <v>26</v>
      </c>
      <c r="L100" s="21" t="s">
        <v>27</v>
      </c>
      <c r="M100" s="21" t="s">
        <v>45</v>
      </c>
      <c r="N100" s="21" t="s">
        <v>29</v>
      </c>
      <c r="O100" s="24">
        <v>45383</v>
      </c>
      <c r="P100" s="24">
        <v>45383</v>
      </c>
      <c r="Q100" s="21" t="s">
        <v>30</v>
      </c>
      <c r="R100" s="21">
        <f t="shared" si="9"/>
        <v>7</v>
      </c>
      <c r="S100" s="23" t="str">
        <f t="shared" si="10"/>
        <v>Yes</v>
      </c>
      <c r="T100" s="21" t="str">
        <f t="shared" si="11"/>
        <v>Matched</v>
      </c>
      <c r="U100" s="2" t="str">
        <f>IF(COUNTIFS($B$2:B100,B100,$F$2:F100,F100,$H$2:H100,H100)&gt;1,"DUPLICATE","OK")</f>
        <v>OK</v>
      </c>
    </row>
    <row r="101" spans="1:21" x14ac:dyDescent="0.35">
      <c r="A101" s="21" t="s">
        <v>312</v>
      </c>
      <c r="B101" s="21" t="s">
        <v>47</v>
      </c>
      <c r="C101" s="21" t="s">
        <v>21</v>
      </c>
      <c r="D101" s="22">
        <v>45381</v>
      </c>
      <c r="E101" s="22" t="s">
        <v>690</v>
      </c>
      <c r="F101" s="21" t="s">
        <v>313</v>
      </c>
      <c r="G101" s="21" t="s">
        <v>314</v>
      </c>
      <c r="H101" s="21">
        <v>98000</v>
      </c>
      <c r="I101" s="21" t="s">
        <v>51</v>
      </c>
      <c r="J101" s="21" t="s">
        <v>52</v>
      </c>
      <c r="K101" s="21" t="s">
        <v>26</v>
      </c>
      <c r="L101" s="21" t="s">
        <v>27</v>
      </c>
      <c r="M101" s="21" t="s">
        <v>28</v>
      </c>
      <c r="N101" s="21" t="s">
        <v>29</v>
      </c>
      <c r="O101" s="24">
        <v>45388</v>
      </c>
      <c r="P101" s="24">
        <v>45388</v>
      </c>
      <c r="Q101" s="21" t="s">
        <v>30</v>
      </c>
      <c r="R101" s="21">
        <f t="shared" si="9"/>
        <v>7</v>
      </c>
      <c r="S101" s="23" t="str">
        <f t="shared" si="10"/>
        <v>Yes</v>
      </c>
      <c r="T101" s="21" t="str">
        <f t="shared" si="11"/>
        <v>Matched</v>
      </c>
      <c r="U101" s="2" t="str">
        <f>IF(COUNTIFS($B$2:B101,B101,$F$2:F101,F101,$H$2:H101,H101)&gt;1,"DUPLICATE","OK")</f>
        <v>OK</v>
      </c>
    </row>
    <row r="102" spans="1:21" x14ac:dyDescent="0.35">
      <c r="A102" s="21" t="s">
        <v>324</v>
      </c>
      <c r="B102" s="21" t="s">
        <v>39</v>
      </c>
      <c r="C102" s="21" t="s">
        <v>21</v>
      </c>
      <c r="D102" s="22">
        <v>45385</v>
      </c>
      <c r="E102" s="22" t="s">
        <v>691</v>
      </c>
      <c r="F102" s="21" t="s">
        <v>325</v>
      </c>
      <c r="G102" s="21" t="s">
        <v>326</v>
      </c>
      <c r="H102" s="21">
        <v>48000</v>
      </c>
      <c r="I102" s="21" t="s">
        <v>43</v>
      </c>
      <c r="J102" s="21" t="s">
        <v>44</v>
      </c>
      <c r="K102" s="21" t="s">
        <v>26</v>
      </c>
      <c r="L102" s="21" t="s">
        <v>27</v>
      </c>
      <c r="M102" s="21" t="s">
        <v>62</v>
      </c>
      <c r="N102" s="21" t="s">
        <v>29</v>
      </c>
      <c r="O102" s="24">
        <v>45392</v>
      </c>
      <c r="P102" s="24">
        <v>45392</v>
      </c>
      <c r="Q102" s="21" t="s">
        <v>30</v>
      </c>
      <c r="R102" s="21">
        <f t="shared" si="9"/>
        <v>7</v>
      </c>
      <c r="S102" s="23" t="str">
        <f t="shared" si="10"/>
        <v>Yes</v>
      </c>
      <c r="T102" s="21" t="str">
        <f t="shared" si="11"/>
        <v>Matched</v>
      </c>
      <c r="U102" s="2" t="str">
        <f>IF(COUNTIFS($B$2:B102,B102,$F$2:F102,F102,$H$2:H102,H102)&gt;1,"DUPLICATE","OK")</f>
        <v>OK</v>
      </c>
    </row>
    <row r="103" spans="1:21" x14ac:dyDescent="0.35">
      <c r="A103" s="21" t="s">
        <v>339</v>
      </c>
      <c r="B103" s="21" t="s">
        <v>39</v>
      </c>
      <c r="C103" s="21" t="s">
        <v>33</v>
      </c>
      <c r="D103" s="22">
        <v>45390</v>
      </c>
      <c r="E103" s="22" t="s">
        <v>691</v>
      </c>
      <c r="F103" s="21" t="s">
        <v>340</v>
      </c>
      <c r="G103" s="21" t="s">
        <v>341</v>
      </c>
      <c r="H103" s="21">
        <v>62000</v>
      </c>
      <c r="I103" s="21" t="s">
        <v>43</v>
      </c>
      <c r="J103" s="21" t="s">
        <v>44</v>
      </c>
      <c r="K103" s="21" t="s">
        <v>26</v>
      </c>
      <c r="L103" s="21" t="s">
        <v>27</v>
      </c>
      <c r="M103" s="21" t="s">
        <v>28</v>
      </c>
      <c r="N103" s="21" t="s">
        <v>29</v>
      </c>
      <c r="O103" s="24">
        <v>45397</v>
      </c>
      <c r="P103" s="24">
        <v>45397</v>
      </c>
      <c r="Q103" s="21" t="s">
        <v>30</v>
      </c>
      <c r="R103" s="21">
        <f t="shared" si="9"/>
        <v>7</v>
      </c>
      <c r="S103" s="23" t="str">
        <f t="shared" si="10"/>
        <v>Yes</v>
      </c>
      <c r="T103" s="21" t="str">
        <f t="shared" si="11"/>
        <v>Matched</v>
      </c>
      <c r="U103" s="2" t="str">
        <f>IF(COUNTIFS($B$2:B103,B103,$F$2:F103,F103,$H$2:H103,H103)&gt;1,"DUPLICATE","OK")</f>
        <v>OK</v>
      </c>
    </row>
    <row r="104" spans="1:21" x14ac:dyDescent="0.35">
      <c r="A104" s="21" t="s">
        <v>354</v>
      </c>
      <c r="B104" s="21" t="s">
        <v>39</v>
      </c>
      <c r="C104" s="21" t="s">
        <v>40</v>
      </c>
      <c r="D104" s="22">
        <v>45395</v>
      </c>
      <c r="E104" s="22" t="s">
        <v>691</v>
      </c>
      <c r="F104" s="21" t="s">
        <v>355</v>
      </c>
      <c r="G104" s="21" t="s">
        <v>356</v>
      </c>
      <c r="H104" s="21">
        <v>44000</v>
      </c>
      <c r="I104" s="21" t="s">
        <v>43</v>
      </c>
      <c r="J104" s="21" t="s">
        <v>44</v>
      </c>
      <c r="K104" s="21" t="s">
        <v>26</v>
      </c>
      <c r="L104" s="21" t="s">
        <v>27</v>
      </c>
      <c r="M104" s="21" t="s">
        <v>62</v>
      </c>
      <c r="N104" s="21" t="s">
        <v>29</v>
      </c>
      <c r="O104" s="24">
        <v>45402</v>
      </c>
      <c r="P104" s="24">
        <v>45402</v>
      </c>
      <c r="Q104" s="21" t="s">
        <v>30</v>
      </c>
      <c r="R104" s="21">
        <f t="shared" si="9"/>
        <v>7</v>
      </c>
      <c r="S104" s="23" t="str">
        <f t="shared" si="10"/>
        <v>Yes</v>
      </c>
      <c r="T104" s="21" t="str">
        <f t="shared" si="11"/>
        <v>Matched</v>
      </c>
      <c r="U104" s="2" t="str">
        <f>IF(COUNTIFS($B$2:B104,B104,$F$2:F104,F104,$H$2:H104,H104)&gt;1,"DUPLICATE","OK")</f>
        <v>OK</v>
      </c>
    </row>
    <row r="105" spans="1:21" x14ac:dyDescent="0.35">
      <c r="A105" s="21" t="s">
        <v>369</v>
      </c>
      <c r="B105" s="21" t="s">
        <v>39</v>
      </c>
      <c r="C105" s="21" t="s">
        <v>48</v>
      </c>
      <c r="D105" s="22">
        <v>45400</v>
      </c>
      <c r="E105" s="22" t="s">
        <v>691</v>
      </c>
      <c r="F105" s="21" t="s">
        <v>370</v>
      </c>
      <c r="G105" s="21" t="s">
        <v>371</v>
      </c>
      <c r="H105" s="21">
        <v>55000</v>
      </c>
      <c r="I105" s="21" t="s">
        <v>43</v>
      </c>
      <c r="J105" s="21" t="s">
        <v>44</v>
      </c>
      <c r="K105" s="21" t="s">
        <v>26</v>
      </c>
      <c r="L105" s="21" t="s">
        <v>113</v>
      </c>
      <c r="M105" s="21" t="s">
        <v>28</v>
      </c>
      <c r="N105" s="21" t="s">
        <v>114</v>
      </c>
      <c r="O105" s="24">
        <v>45407</v>
      </c>
      <c r="P105" s="21" t="s">
        <v>30</v>
      </c>
      <c r="Q105" s="21" t="s">
        <v>115</v>
      </c>
      <c r="R105" s="21" t="str">
        <f t="shared" si="9"/>
        <v>-</v>
      </c>
      <c r="S105" s="23" t="str">
        <f t="shared" si="10"/>
        <v>-</v>
      </c>
      <c r="T105" s="21" t="str">
        <f t="shared" si="11"/>
        <v>Matched</v>
      </c>
      <c r="U105" s="2" t="str">
        <f>IF(COUNTIFS($B$2:B105,B105,$F$2:F105,F105,$H$2:H105,H105)&gt;1,"DUPLICATE","OK")</f>
        <v>OK</v>
      </c>
    </row>
    <row r="106" spans="1:21" x14ac:dyDescent="0.35">
      <c r="A106" s="21" t="s">
        <v>384</v>
      </c>
      <c r="B106" s="21" t="s">
        <v>39</v>
      </c>
      <c r="C106" s="21" t="s">
        <v>21</v>
      </c>
      <c r="D106" s="22">
        <v>45405</v>
      </c>
      <c r="E106" s="22" t="s">
        <v>691</v>
      </c>
      <c r="F106" s="21" t="s">
        <v>385</v>
      </c>
      <c r="G106" s="21" t="s">
        <v>386</v>
      </c>
      <c r="H106" s="21">
        <v>47000</v>
      </c>
      <c r="I106" s="21" t="s">
        <v>43</v>
      </c>
      <c r="J106" s="21" t="s">
        <v>44</v>
      </c>
      <c r="K106" s="21" t="s">
        <v>26</v>
      </c>
      <c r="L106" s="21" t="s">
        <v>27</v>
      </c>
      <c r="M106" s="21" t="s">
        <v>62</v>
      </c>
      <c r="N106" s="21" t="s">
        <v>29</v>
      </c>
      <c r="O106" s="24">
        <v>45412</v>
      </c>
      <c r="P106" s="24">
        <v>45412</v>
      </c>
      <c r="Q106" s="21" t="s">
        <v>30</v>
      </c>
      <c r="R106" s="21">
        <f t="shared" si="9"/>
        <v>7</v>
      </c>
      <c r="S106" s="23" t="str">
        <f t="shared" si="10"/>
        <v>Yes</v>
      </c>
      <c r="T106" s="21" t="str">
        <f t="shared" si="11"/>
        <v>Matched</v>
      </c>
      <c r="U106" s="2" t="str">
        <f>IF(COUNTIFS($B$2:B106,B106,$F$2:F106,F106,$H$2:H106,H106)&gt;1,"DUPLICATE","OK")</f>
        <v>OK</v>
      </c>
    </row>
    <row r="107" spans="1:21" x14ac:dyDescent="0.35">
      <c r="A107" s="21" t="s">
        <v>399</v>
      </c>
      <c r="B107" s="21" t="s">
        <v>39</v>
      </c>
      <c r="C107" s="21" t="s">
        <v>33</v>
      </c>
      <c r="D107" s="22">
        <v>45410</v>
      </c>
      <c r="E107" s="22" t="s">
        <v>691</v>
      </c>
      <c r="F107" s="21" t="s">
        <v>400</v>
      </c>
      <c r="G107" s="21" t="s">
        <v>401</v>
      </c>
      <c r="H107" s="21">
        <v>64000</v>
      </c>
      <c r="I107" s="21" t="s">
        <v>43</v>
      </c>
      <c r="J107" s="21" t="s">
        <v>44</v>
      </c>
      <c r="K107" s="21" t="s">
        <v>26</v>
      </c>
      <c r="L107" s="21" t="s">
        <v>27</v>
      </c>
      <c r="M107" s="21" t="s">
        <v>28</v>
      </c>
      <c r="N107" s="21" t="s">
        <v>29</v>
      </c>
      <c r="O107" s="24">
        <v>45417</v>
      </c>
      <c r="P107" s="24">
        <v>45417</v>
      </c>
      <c r="Q107" s="21" t="s">
        <v>30</v>
      </c>
      <c r="R107" s="21">
        <f t="shared" si="9"/>
        <v>7</v>
      </c>
      <c r="S107" s="23" t="str">
        <f t="shared" si="10"/>
        <v>Yes</v>
      </c>
      <c r="T107" s="21" t="str">
        <f t="shared" si="11"/>
        <v>Matched</v>
      </c>
      <c r="U107" s="2" t="str">
        <f>IF(COUNTIFS($B$2:B107,B107,$F$2:F107,F107,$H$2:H107,H107)&gt;1,"DUPLICATE","OK")</f>
        <v>OK</v>
      </c>
    </row>
    <row r="108" spans="1:21" x14ac:dyDescent="0.35">
      <c r="A108" s="21" t="s">
        <v>321</v>
      </c>
      <c r="B108" s="21" t="s">
        <v>32</v>
      </c>
      <c r="C108" s="21" t="s">
        <v>48</v>
      </c>
      <c r="D108" s="22">
        <v>45384</v>
      </c>
      <c r="E108" s="22" t="s">
        <v>691</v>
      </c>
      <c r="F108" s="21" t="s">
        <v>322</v>
      </c>
      <c r="G108" s="21" t="s">
        <v>323</v>
      </c>
      <c r="H108" s="21">
        <v>77000</v>
      </c>
      <c r="I108" s="21" t="s">
        <v>36</v>
      </c>
      <c r="J108" s="21" t="s">
        <v>37</v>
      </c>
      <c r="K108" s="21" t="s">
        <v>26</v>
      </c>
      <c r="L108" s="21" t="s">
        <v>27</v>
      </c>
      <c r="M108" s="21" t="s">
        <v>28</v>
      </c>
      <c r="N108" s="21" t="s">
        <v>29</v>
      </c>
      <c r="O108" s="24">
        <v>45391</v>
      </c>
      <c r="P108" s="24">
        <v>45391</v>
      </c>
      <c r="Q108" s="21" t="s">
        <v>30</v>
      </c>
      <c r="R108" s="21">
        <f t="shared" si="9"/>
        <v>7</v>
      </c>
      <c r="S108" s="23" t="str">
        <f t="shared" si="10"/>
        <v>Yes</v>
      </c>
      <c r="T108" s="21" t="str">
        <f t="shared" si="11"/>
        <v>Matched</v>
      </c>
      <c r="U108" s="2" t="str">
        <f>IF(COUNTIFS($B$2:B108,B108,$F$2:F108,F108,$H$2:H108,H108)&gt;1,"DUPLICATE","OK")</f>
        <v>OK</v>
      </c>
    </row>
    <row r="109" spans="1:21" x14ac:dyDescent="0.35">
      <c r="A109" s="21" t="s">
        <v>336</v>
      </c>
      <c r="B109" s="21" t="s">
        <v>32</v>
      </c>
      <c r="C109" s="21" t="s">
        <v>21</v>
      </c>
      <c r="D109" s="22">
        <v>45389</v>
      </c>
      <c r="E109" s="22" t="s">
        <v>691</v>
      </c>
      <c r="F109" s="21" t="s">
        <v>337</v>
      </c>
      <c r="G109" s="21" t="s">
        <v>338</v>
      </c>
      <c r="H109" s="21">
        <v>94000</v>
      </c>
      <c r="I109" s="21" t="s">
        <v>36</v>
      </c>
      <c r="J109" s="21" t="s">
        <v>37</v>
      </c>
      <c r="K109" s="21" t="s">
        <v>26</v>
      </c>
      <c r="L109" s="21" t="s">
        <v>27</v>
      </c>
      <c r="M109" s="21" t="s">
        <v>28</v>
      </c>
      <c r="N109" s="21" t="s">
        <v>29</v>
      </c>
      <c r="O109" s="24">
        <v>45396</v>
      </c>
      <c r="P109" s="24">
        <v>45396</v>
      </c>
      <c r="Q109" s="21" t="s">
        <v>30</v>
      </c>
      <c r="R109" s="21">
        <f t="shared" si="9"/>
        <v>7</v>
      </c>
      <c r="S109" s="23" t="str">
        <f t="shared" si="10"/>
        <v>Yes</v>
      </c>
      <c r="T109" s="21" t="str">
        <f t="shared" si="11"/>
        <v>Matched</v>
      </c>
      <c r="U109" s="2" t="str">
        <f>IF(COUNTIFS($B$2:B109,B109,$F$2:F109,F109,$H$2:H109,H109)&gt;1,"DUPLICATE","OK")</f>
        <v>OK</v>
      </c>
    </row>
    <row r="110" spans="1:21" x14ac:dyDescent="0.35">
      <c r="A110" s="21" t="s">
        <v>351</v>
      </c>
      <c r="B110" s="21" t="s">
        <v>32</v>
      </c>
      <c r="C110" s="21" t="s">
        <v>33</v>
      </c>
      <c r="D110" s="22">
        <v>45394</v>
      </c>
      <c r="E110" s="22" t="s">
        <v>691</v>
      </c>
      <c r="F110" s="21" t="s">
        <v>352</v>
      </c>
      <c r="G110" s="21" t="s">
        <v>353</v>
      </c>
      <c r="H110" s="21">
        <v>89000</v>
      </c>
      <c r="I110" s="21" t="s">
        <v>36</v>
      </c>
      <c r="J110" s="21" t="s">
        <v>37</v>
      </c>
      <c r="K110" s="21" t="s">
        <v>26</v>
      </c>
      <c r="L110" s="21" t="s">
        <v>27</v>
      </c>
      <c r="M110" s="21" t="s">
        <v>28</v>
      </c>
      <c r="N110" s="21" t="s">
        <v>29</v>
      </c>
      <c r="O110" s="24">
        <v>45401</v>
      </c>
      <c r="P110" s="24">
        <v>45404</v>
      </c>
      <c r="Q110" s="21" t="s">
        <v>173</v>
      </c>
      <c r="R110" s="21">
        <f t="shared" si="9"/>
        <v>10</v>
      </c>
      <c r="S110" s="23" t="str">
        <f t="shared" si="10"/>
        <v>No</v>
      </c>
      <c r="T110" s="21" t="str">
        <f t="shared" si="11"/>
        <v>Matched</v>
      </c>
      <c r="U110" s="2" t="str">
        <f>IF(COUNTIFS($B$2:B110,B110,$F$2:F110,F110,$H$2:H110,H110)&gt;1,"DUPLICATE","OK")</f>
        <v>OK</v>
      </c>
    </row>
    <row r="111" spans="1:21" x14ac:dyDescent="0.35">
      <c r="A111" s="21" t="s">
        <v>366</v>
      </c>
      <c r="B111" s="21" t="s">
        <v>32</v>
      </c>
      <c r="C111" s="21" t="s">
        <v>40</v>
      </c>
      <c r="D111" s="22">
        <v>45399</v>
      </c>
      <c r="E111" s="22" t="s">
        <v>691</v>
      </c>
      <c r="F111" s="21" t="s">
        <v>367</v>
      </c>
      <c r="G111" s="21" t="s">
        <v>368</v>
      </c>
      <c r="H111" s="21">
        <v>67000</v>
      </c>
      <c r="I111" s="21" t="s">
        <v>36</v>
      </c>
      <c r="J111" s="21" t="s">
        <v>37</v>
      </c>
      <c r="K111" s="21" t="s">
        <v>26</v>
      </c>
      <c r="L111" s="21" t="s">
        <v>27</v>
      </c>
      <c r="M111" s="21" t="s">
        <v>28</v>
      </c>
      <c r="N111" s="21" t="s">
        <v>108</v>
      </c>
      <c r="O111" s="24">
        <v>45406</v>
      </c>
      <c r="P111" s="21" t="s">
        <v>30</v>
      </c>
      <c r="Q111" s="21" t="s">
        <v>109</v>
      </c>
      <c r="R111" s="21" t="str">
        <f t="shared" si="9"/>
        <v>-</v>
      </c>
      <c r="S111" s="23" t="str">
        <f t="shared" si="10"/>
        <v>-</v>
      </c>
      <c r="T111" s="21" t="str">
        <f t="shared" si="11"/>
        <v>Matched</v>
      </c>
      <c r="U111" s="2" t="str">
        <f>IF(COUNTIFS($B$2:B111,B111,$F$2:F111,F111,$H$2:H111,H111)&gt;1,"DUPLICATE","OK")</f>
        <v>OK</v>
      </c>
    </row>
    <row r="112" spans="1:21" x14ac:dyDescent="0.35">
      <c r="A112" s="21" t="s">
        <v>381</v>
      </c>
      <c r="B112" s="21" t="s">
        <v>32</v>
      </c>
      <c r="C112" s="21" t="s">
        <v>48</v>
      </c>
      <c r="D112" s="22">
        <v>45404</v>
      </c>
      <c r="E112" s="22" t="s">
        <v>691</v>
      </c>
      <c r="F112" s="21" t="s">
        <v>382</v>
      </c>
      <c r="G112" s="21" t="s">
        <v>383</v>
      </c>
      <c r="H112" s="21">
        <v>84000</v>
      </c>
      <c r="I112" s="21" t="s">
        <v>36</v>
      </c>
      <c r="J112" s="21" t="s">
        <v>37</v>
      </c>
      <c r="K112" s="21" t="s">
        <v>26</v>
      </c>
      <c r="L112" s="21" t="s">
        <v>27</v>
      </c>
      <c r="M112" s="21" t="s">
        <v>28</v>
      </c>
      <c r="N112" s="21" t="s">
        <v>29</v>
      </c>
      <c r="O112" s="24">
        <v>45411</v>
      </c>
      <c r="P112" s="24">
        <v>45411</v>
      </c>
      <c r="Q112" s="21" t="s">
        <v>30</v>
      </c>
      <c r="R112" s="21">
        <f t="shared" si="9"/>
        <v>7</v>
      </c>
      <c r="S112" s="23" t="str">
        <f t="shared" si="10"/>
        <v>Yes</v>
      </c>
      <c r="T112" s="21" t="str">
        <f t="shared" si="11"/>
        <v>Matched</v>
      </c>
      <c r="U112" s="2" t="str">
        <f>IF(COUNTIFS($B$2:B112,B112,$F$2:F112,F112,$H$2:H112,H112)&gt;1,"DUPLICATE","OK")</f>
        <v>OK</v>
      </c>
    </row>
    <row r="113" spans="1:21" x14ac:dyDescent="0.35">
      <c r="A113" s="21" t="s">
        <v>396</v>
      </c>
      <c r="B113" s="21" t="s">
        <v>32</v>
      </c>
      <c r="C113" s="21" t="s">
        <v>21</v>
      </c>
      <c r="D113" s="22">
        <v>45409</v>
      </c>
      <c r="E113" s="22" t="s">
        <v>691</v>
      </c>
      <c r="F113" s="21" t="s">
        <v>397</v>
      </c>
      <c r="G113" s="21" t="s">
        <v>398</v>
      </c>
      <c r="H113" s="21">
        <v>99000</v>
      </c>
      <c r="I113" s="21" t="s">
        <v>36</v>
      </c>
      <c r="J113" s="21" t="s">
        <v>37</v>
      </c>
      <c r="K113" s="21" t="s">
        <v>26</v>
      </c>
      <c r="L113" s="21" t="s">
        <v>27</v>
      </c>
      <c r="M113" s="21" t="s">
        <v>28</v>
      </c>
      <c r="N113" s="21" t="s">
        <v>29</v>
      </c>
      <c r="O113" s="24">
        <v>45416</v>
      </c>
      <c r="P113" s="24">
        <v>45416</v>
      </c>
      <c r="Q113" s="21" t="s">
        <v>30</v>
      </c>
      <c r="R113" s="21">
        <f t="shared" si="9"/>
        <v>7</v>
      </c>
      <c r="S113" s="23" t="str">
        <f t="shared" si="10"/>
        <v>Yes</v>
      </c>
      <c r="T113" s="21" t="str">
        <f t="shared" si="11"/>
        <v>Matched</v>
      </c>
      <c r="U113" s="2" t="str">
        <f>IF(COUNTIFS($B$2:B113,B113,$F$2:F113,F113,$H$2:H113,H113)&gt;1,"DUPLICATE","OK")</f>
        <v>OK</v>
      </c>
    </row>
    <row r="114" spans="1:21" x14ac:dyDescent="0.35">
      <c r="A114" s="21" t="s">
        <v>318</v>
      </c>
      <c r="B114" s="21" t="s">
        <v>20</v>
      </c>
      <c r="C114" s="21" t="s">
        <v>40</v>
      </c>
      <c r="D114" s="22">
        <v>45383</v>
      </c>
      <c r="E114" s="22" t="s">
        <v>691</v>
      </c>
      <c r="F114" s="21" t="s">
        <v>319</v>
      </c>
      <c r="G114" s="21" t="s">
        <v>320</v>
      </c>
      <c r="H114" s="21">
        <v>65000</v>
      </c>
      <c r="I114" s="21" t="s">
        <v>24</v>
      </c>
      <c r="J114" s="21" t="s">
        <v>25</v>
      </c>
      <c r="K114" s="21" t="s">
        <v>26</v>
      </c>
      <c r="L114" s="21" t="s">
        <v>27</v>
      </c>
      <c r="M114" s="21" t="s">
        <v>28</v>
      </c>
      <c r="N114" s="21" t="s">
        <v>29</v>
      </c>
      <c r="O114" s="24">
        <v>45390</v>
      </c>
      <c r="P114" s="24">
        <v>45390</v>
      </c>
      <c r="Q114" s="21" t="s">
        <v>30</v>
      </c>
      <c r="R114" s="21">
        <f t="shared" si="9"/>
        <v>7</v>
      </c>
      <c r="S114" s="23" t="str">
        <f t="shared" si="10"/>
        <v>Yes</v>
      </c>
      <c r="T114" s="21" t="str">
        <f t="shared" si="11"/>
        <v>Matched</v>
      </c>
      <c r="U114" s="2" t="str">
        <f>IF(COUNTIFS($B$2:B114,B114,$F$2:F114,F114,$H$2:H114,H114)&gt;1,"DUPLICATE","OK")</f>
        <v>OK</v>
      </c>
    </row>
    <row r="115" spans="1:21" x14ac:dyDescent="0.35">
      <c r="A115" s="21" t="s">
        <v>333</v>
      </c>
      <c r="B115" s="21" t="s">
        <v>20</v>
      </c>
      <c r="C115" s="21" t="s">
        <v>48</v>
      </c>
      <c r="D115" s="22">
        <v>45388</v>
      </c>
      <c r="E115" s="22" t="s">
        <v>691</v>
      </c>
      <c r="F115" s="21" t="s">
        <v>334</v>
      </c>
      <c r="G115" s="21" t="s">
        <v>335</v>
      </c>
      <c r="H115" s="21">
        <v>37000</v>
      </c>
      <c r="I115" s="21" t="s">
        <v>24</v>
      </c>
      <c r="J115" s="21" t="s">
        <v>25</v>
      </c>
      <c r="K115" s="21" t="s">
        <v>26</v>
      </c>
      <c r="L115" s="21" t="s">
        <v>27</v>
      </c>
      <c r="M115" s="21" t="s">
        <v>62</v>
      </c>
      <c r="N115" s="21" t="s">
        <v>29</v>
      </c>
      <c r="O115" s="24">
        <v>45395</v>
      </c>
      <c r="P115" s="24">
        <v>45395</v>
      </c>
      <c r="Q115" s="21" t="s">
        <v>30</v>
      </c>
      <c r="R115" s="21">
        <f t="shared" si="9"/>
        <v>7</v>
      </c>
      <c r="S115" s="23" t="str">
        <f t="shared" si="10"/>
        <v>Yes</v>
      </c>
      <c r="T115" s="21" t="str">
        <f t="shared" si="11"/>
        <v>Matched</v>
      </c>
      <c r="U115" s="2" t="str">
        <f>IF(COUNTIFS($B$2:B115,B115,$F$2:F115,F115,$H$2:H115,H115)&gt;1,"DUPLICATE","OK")</f>
        <v>OK</v>
      </c>
    </row>
    <row r="116" spans="1:21" x14ac:dyDescent="0.35">
      <c r="A116" s="21" t="s">
        <v>348</v>
      </c>
      <c r="B116" s="21" t="s">
        <v>20</v>
      </c>
      <c r="C116" s="21" t="s">
        <v>21</v>
      </c>
      <c r="D116" s="22">
        <v>45393</v>
      </c>
      <c r="E116" s="22" t="s">
        <v>691</v>
      </c>
      <c r="F116" s="21" t="s">
        <v>349</v>
      </c>
      <c r="G116" s="21" t="s">
        <v>350</v>
      </c>
      <c r="H116" s="21">
        <v>53000</v>
      </c>
      <c r="I116" s="21" t="s">
        <v>24</v>
      </c>
      <c r="J116" s="21" t="s">
        <v>25</v>
      </c>
      <c r="K116" s="21" t="s">
        <v>26</v>
      </c>
      <c r="L116" s="21" t="s">
        <v>27</v>
      </c>
      <c r="M116" s="21" t="s">
        <v>28</v>
      </c>
      <c r="N116" s="21" t="s">
        <v>29</v>
      </c>
      <c r="O116" s="24">
        <v>45400</v>
      </c>
      <c r="P116" s="24">
        <v>45400</v>
      </c>
      <c r="Q116" s="21" t="s">
        <v>30</v>
      </c>
      <c r="R116" s="21">
        <f t="shared" si="9"/>
        <v>7</v>
      </c>
      <c r="S116" s="23" t="str">
        <f t="shared" si="10"/>
        <v>Yes</v>
      </c>
      <c r="T116" s="21" t="str">
        <f t="shared" si="11"/>
        <v>Matched</v>
      </c>
      <c r="U116" s="2" t="str">
        <f>IF(COUNTIFS($B$2:B116,B116,$F$2:F116,F116,$H$2:H116,H116)&gt;1,"DUPLICATE","OK")</f>
        <v>OK</v>
      </c>
    </row>
    <row r="117" spans="1:21" x14ac:dyDescent="0.35">
      <c r="A117" s="21" t="s">
        <v>363</v>
      </c>
      <c r="B117" s="21" t="s">
        <v>20</v>
      </c>
      <c r="C117" s="21" t="s">
        <v>33</v>
      </c>
      <c r="D117" s="22">
        <v>45398</v>
      </c>
      <c r="E117" s="22" t="s">
        <v>691</v>
      </c>
      <c r="F117" s="21" t="s">
        <v>364</v>
      </c>
      <c r="G117" s="21" t="s">
        <v>365</v>
      </c>
      <c r="H117" s="21">
        <v>41000</v>
      </c>
      <c r="I117" s="21" t="s">
        <v>24</v>
      </c>
      <c r="J117" s="21" t="s">
        <v>25</v>
      </c>
      <c r="K117" s="21" t="s">
        <v>26</v>
      </c>
      <c r="L117" s="21" t="s">
        <v>27</v>
      </c>
      <c r="M117" s="21" t="s">
        <v>62</v>
      </c>
      <c r="N117" s="21" t="s">
        <v>29</v>
      </c>
      <c r="O117" s="24">
        <v>45405</v>
      </c>
      <c r="P117" s="24">
        <v>45405</v>
      </c>
      <c r="Q117" s="21" t="s">
        <v>30</v>
      </c>
      <c r="R117" s="21">
        <f t="shared" si="9"/>
        <v>7</v>
      </c>
      <c r="S117" s="23" t="str">
        <f t="shared" si="10"/>
        <v>Yes</v>
      </c>
      <c r="T117" s="21" t="str">
        <f t="shared" si="11"/>
        <v>Matched</v>
      </c>
      <c r="U117" s="2" t="str">
        <f>IF(COUNTIFS($B$2:B117,B117,$F$2:F117,F117,$H$2:H117,H117)&gt;1,"DUPLICATE","OK")</f>
        <v>OK</v>
      </c>
    </row>
    <row r="118" spans="1:21" x14ac:dyDescent="0.35">
      <c r="A118" s="21" t="s">
        <v>378</v>
      </c>
      <c r="B118" s="21" t="s">
        <v>20</v>
      </c>
      <c r="C118" s="21" t="s">
        <v>40</v>
      </c>
      <c r="D118" s="22">
        <v>45403</v>
      </c>
      <c r="E118" s="22" t="s">
        <v>691</v>
      </c>
      <c r="F118" s="21" t="s">
        <v>379</v>
      </c>
      <c r="G118" s="21" t="s">
        <v>380</v>
      </c>
      <c r="H118" s="21">
        <v>58000</v>
      </c>
      <c r="I118" s="21" t="s">
        <v>24</v>
      </c>
      <c r="J118" s="21" t="s">
        <v>25</v>
      </c>
      <c r="K118" s="21" t="s">
        <v>26</v>
      </c>
      <c r="L118" s="21" t="s">
        <v>27</v>
      </c>
      <c r="M118" s="21" t="s">
        <v>28</v>
      </c>
      <c r="N118" s="21" t="s">
        <v>29</v>
      </c>
      <c r="O118" s="24">
        <v>45410</v>
      </c>
      <c r="P118" s="24">
        <v>45410</v>
      </c>
      <c r="Q118" s="21" t="s">
        <v>30</v>
      </c>
      <c r="R118" s="21">
        <f t="shared" si="9"/>
        <v>7</v>
      </c>
      <c r="S118" s="23" t="str">
        <f t="shared" si="10"/>
        <v>Yes</v>
      </c>
      <c r="T118" s="21" t="str">
        <f t="shared" si="11"/>
        <v>Matched</v>
      </c>
      <c r="U118" s="2" t="str">
        <f>IF(COUNTIFS($B$2:B118,B118,$F$2:F118,F118,$H$2:H118,H118)&gt;1,"DUPLICATE","OK")</f>
        <v>OK</v>
      </c>
    </row>
    <row r="119" spans="1:21" x14ac:dyDescent="0.35">
      <c r="A119" s="21" t="s">
        <v>393</v>
      </c>
      <c r="B119" s="21" t="s">
        <v>20</v>
      </c>
      <c r="C119" s="21" t="s">
        <v>48</v>
      </c>
      <c r="D119" s="22">
        <v>45408</v>
      </c>
      <c r="E119" s="22" t="s">
        <v>691</v>
      </c>
      <c r="F119" s="21" t="s">
        <v>394</v>
      </c>
      <c r="G119" s="21" t="s">
        <v>395</v>
      </c>
      <c r="H119" s="21">
        <v>33000</v>
      </c>
      <c r="I119" s="21" t="s">
        <v>24</v>
      </c>
      <c r="J119" s="21" t="s">
        <v>25</v>
      </c>
      <c r="K119" s="21" t="s">
        <v>26</v>
      </c>
      <c r="L119" s="21" t="s">
        <v>27</v>
      </c>
      <c r="M119" s="21" t="s">
        <v>62</v>
      </c>
      <c r="N119" s="21" t="s">
        <v>29</v>
      </c>
      <c r="O119" s="24">
        <v>45415</v>
      </c>
      <c r="P119" s="24">
        <v>45415</v>
      </c>
      <c r="Q119" s="21" t="s">
        <v>30</v>
      </c>
      <c r="R119" s="21">
        <f t="shared" si="9"/>
        <v>7</v>
      </c>
      <c r="S119" s="23" t="str">
        <f t="shared" si="10"/>
        <v>Yes</v>
      </c>
      <c r="T119" s="21" t="str">
        <f t="shared" si="11"/>
        <v>Matched</v>
      </c>
      <c r="U119" s="2" t="str">
        <f>IF(COUNTIFS($B$2:B119,B119,$F$2:F119,F119,$H$2:H119,H119)&gt;1,"DUPLICATE","OK")</f>
        <v>OK</v>
      </c>
    </row>
    <row r="120" spans="1:21" x14ac:dyDescent="0.35">
      <c r="A120" s="21" t="s">
        <v>330</v>
      </c>
      <c r="B120" s="21" t="s">
        <v>54</v>
      </c>
      <c r="C120" s="21" t="s">
        <v>40</v>
      </c>
      <c r="D120" s="22">
        <v>45387</v>
      </c>
      <c r="E120" s="22" t="s">
        <v>691</v>
      </c>
      <c r="F120" s="21" t="s">
        <v>331</v>
      </c>
      <c r="G120" s="21" t="s">
        <v>332</v>
      </c>
      <c r="H120" s="21">
        <v>159000</v>
      </c>
      <c r="I120" s="21" t="s">
        <v>57</v>
      </c>
      <c r="J120" s="21" t="s">
        <v>58</v>
      </c>
      <c r="K120" s="21" t="s">
        <v>26</v>
      </c>
      <c r="L120" s="21" t="s">
        <v>27</v>
      </c>
      <c r="M120" s="21" t="s">
        <v>28</v>
      </c>
      <c r="N120" s="21" t="s">
        <v>29</v>
      </c>
      <c r="O120" s="24">
        <v>45394</v>
      </c>
      <c r="P120" s="24">
        <v>45394</v>
      </c>
      <c r="Q120" s="21" t="s">
        <v>30</v>
      </c>
      <c r="R120" s="21">
        <f t="shared" si="9"/>
        <v>7</v>
      </c>
      <c r="S120" s="23" t="str">
        <f t="shared" si="10"/>
        <v>Yes</v>
      </c>
      <c r="T120" s="21" t="str">
        <f t="shared" si="11"/>
        <v>Matched</v>
      </c>
      <c r="U120" s="2" t="str">
        <f>IF(COUNTIFS($B$2:B120,B120,$F$2:F120,F120,$H$2:H120,H120)&gt;1,"DUPLICATE","OK")</f>
        <v>OK</v>
      </c>
    </row>
    <row r="121" spans="1:21" x14ac:dyDescent="0.35">
      <c r="A121" s="21" t="s">
        <v>345</v>
      </c>
      <c r="B121" s="21" t="s">
        <v>54</v>
      </c>
      <c r="C121" s="21" t="s">
        <v>48</v>
      </c>
      <c r="D121" s="22">
        <v>45392</v>
      </c>
      <c r="E121" s="22" t="s">
        <v>691</v>
      </c>
      <c r="F121" s="21" t="s">
        <v>346</v>
      </c>
      <c r="G121" s="21" t="s">
        <v>347</v>
      </c>
      <c r="H121" s="21">
        <v>147000</v>
      </c>
      <c r="I121" s="21" t="s">
        <v>57</v>
      </c>
      <c r="J121" s="21" t="s">
        <v>58</v>
      </c>
      <c r="K121" s="21" t="s">
        <v>26</v>
      </c>
      <c r="L121" s="21" t="s">
        <v>27</v>
      </c>
      <c r="M121" s="21" t="s">
        <v>28</v>
      </c>
      <c r="N121" s="21" t="s">
        <v>29</v>
      </c>
      <c r="O121" s="24">
        <v>45399</v>
      </c>
      <c r="P121" s="24">
        <v>45399</v>
      </c>
      <c r="Q121" s="21" t="s">
        <v>30</v>
      </c>
      <c r="R121" s="21">
        <f t="shared" si="9"/>
        <v>7</v>
      </c>
      <c r="S121" s="23" t="str">
        <f t="shared" si="10"/>
        <v>Yes</v>
      </c>
      <c r="T121" s="21" t="str">
        <f t="shared" si="11"/>
        <v>Matched</v>
      </c>
      <c r="U121" s="2" t="str">
        <f>IF(COUNTIFS($B$2:B121,B121,$F$2:F121,F121,$H$2:H121,H121)&gt;1,"DUPLICATE","OK")</f>
        <v>OK</v>
      </c>
    </row>
    <row r="122" spans="1:21" x14ac:dyDescent="0.35">
      <c r="A122" s="21" t="s">
        <v>360</v>
      </c>
      <c r="B122" s="21" t="s">
        <v>54</v>
      </c>
      <c r="C122" s="21" t="s">
        <v>21</v>
      </c>
      <c r="D122" s="22">
        <v>45397</v>
      </c>
      <c r="E122" s="22" t="s">
        <v>691</v>
      </c>
      <c r="F122" s="21" t="s">
        <v>361</v>
      </c>
      <c r="G122" s="21" t="s">
        <v>362</v>
      </c>
      <c r="H122" s="21">
        <v>182000</v>
      </c>
      <c r="I122" s="21" t="s">
        <v>57</v>
      </c>
      <c r="J122" s="21" t="s">
        <v>58</v>
      </c>
      <c r="K122" s="21" t="s">
        <v>26</v>
      </c>
      <c r="L122" s="21" t="s">
        <v>27</v>
      </c>
      <c r="M122" s="21" t="s">
        <v>45</v>
      </c>
      <c r="N122" s="21" t="s">
        <v>29</v>
      </c>
      <c r="O122" s="24">
        <v>45404</v>
      </c>
      <c r="P122" s="24">
        <v>45404</v>
      </c>
      <c r="Q122" s="21" t="s">
        <v>30</v>
      </c>
      <c r="R122" s="21">
        <f t="shared" si="9"/>
        <v>7</v>
      </c>
      <c r="S122" s="23" t="str">
        <f t="shared" si="10"/>
        <v>Yes</v>
      </c>
      <c r="T122" s="21" t="str">
        <f t="shared" si="11"/>
        <v>Matched</v>
      </c>
      <c r="U122" s="2" t="str">
        <f>IF(COUNTIFS($B$2:B122,B122,$F$2:F122,F122,$H$2:H122,H122)&gt;1,"DUPLICATE","OK")</f>
        <v>OK</v>
      </c>
    </row>
    <row r="123" spans="1:21" x14ac:dyDescent="0.35">
      <c r="A123" s="21" t="s">
        <v>375</v>
      </c>
      <c r="B123" s="21" t="s">
        <v>54</v>
      </c>
      <c r="C123" s="21" t="s">
        <v>33</v>
      </c>
      <c r="D123" s="22">
        <v>45402</v>
      </c>
      <c r="E123" s="22" t="s">
        <v>691</v>
      </c>
      <c r="F123" s="21" t="s">
        <v>376</v>
      </c>
      <c r="G123" s="21" t="s">
        <v>377</v>
      </c>
      <c r="H123" s="21">
        <v>136000</v>
      </c>
      <c r="I123" s="21" t="s">
        <v>57</v>
      </c>
      <c r="J123" s="21" t="s">
        <v>58</v>
      </c>
      <c r="K123" s="21" t="s">
        <v>26</v>
      </c>
      <c r="L123" s="21" t="s">
        <v>27</v>
      </c>
      <c r="M123" s="21" t="s">
        <v>28</v>
      </c>
      <c r="N123" s="21" t="s">
        <v>29</v>
      </c>
      <c r="O123" s="24">
        <v>45409</v>
      </c>
      <c r="P123" s="24">
        <v>45409</v>
      </c>
      <c r="Q123" s="21" t="s">
        <v>30</v>
      </c>
      <c r="R123" s="21">
        <f t="shared" si="9"/>
        <v>7</v>
      </c>
      <c r="S123" s="23" t="str">
        <f t="shared" si="10"/>
        <v>Yes</v>
      </c>
      <c r="T123" s="21" t="str">
        <f t="shared" si="11"/>
        <v>Matched</v>
      </c>
      <c r="U123" s="2" t="str">
        <f>IF(COUNTIFS($B$2:B123,B123,$F$2:F123,F123,$H$2:H123,H123)&gt;1,"DUPLICATE","OK")</f>
        <v>OK</v>
      </c>
    </row>
    <row r="124" spans="1:21" x14ac:dyDescent="0.35">
      <c r="A124" s="21" t="s">
        <v>390</v>
      </c>
      <c r="B124" s="21" t="s">
        <v>54</v>
      </c>
      <c r="C124" s="21" t="s">
        <v>40</v>
      </c>
      <c r="D124" s="22">
        <v>45407</v>
      </c>
      <c r="E124" s="22" t="s">
        <v>691</v>
      </c>
      <c r="F124" s="21" t="s">
        <v>391</v>
      </c>
      <c r="G124" s="21" t="s">
        <v>392</v>
      </c>
      <c r="H124" s="21">
        <v>161000</v>
      </c>
      <c r="I124" s="21" t="s">
        <v>57</v>
      </c>
      <c r="J124" s="21" t="s">
        <v>58</v>
      </c>
      <c r="K124" s="21" t="s">
        <v>26</v>
      </c>
      <c r="L124" s="21" t="s">
        <v>27</v>
      </c>
      <c r="M124" s="21" t="s">
        <v>28</v>
      </c>
      <c r="N124" s="21" t="s">
        <v>29</v>
      </c>
      <c r="O124" s="24">
        <v>45414</v>
      </c>
      <c r="P124" s="24">
        <v>45414</v>
      </c>
      <c r="Q124" s="21" t="s">
        <v>30</v>
      </c>
      <c r="R124" s="21">
        <f t="shared" si="9"/>
        <v>7</v>
      </c>
      <c r="S124" s="23" t="str">
        <f t="shared" si="10"/>
        <v>Yes</v>
      </c>
      <c r="T124" s="21" t="str">
        <f t="shared" si="11"/>
        <v>Matched</v>
      </c>
      <c r="U124" s="2" t="str">
        <f>IF(COUNTIFS($B$2:B124,B124,$F$2:F124,F124,$H$2:H124,H124)&gt;1,"DUPLICATE","OK")</f>
        <v>OK</v>
      </c>
    </row>
    <row r="125" spans="1:21" x14ac:dyDescent="0.35">
      <c r="A125" s="21" t="s">
        <v>405</v>
      </c>
      <c r="B125" s="21" t="s">
        <v>54</v>
      </c>
      <c r="C125" s="21" t="s">
        <v>48</v>
      </c>
      <c r="D125" s="22">
        <v>45412</v>
      </c>
      <c r="E125" s="22" t="s">
        <v>691</v>
      </c>
      <c r="F125" s="21" t="s">
        <v>406</v>
      </c>
      <c r="G125" s="21" t="s">
        <v>407</v>
      </c>
      <c r="H125" s="21">
        <v>145000</v>
      </c>
      <c r="I125" s="21" t="s">
        <v>57</v>
      </c>
      <c r="J125" s="21" t="s">
        <v>58</v>
      </c>
      <c r="K125" s="21" t="s">
        <v>26</v>
      </c>
      <c r="L125" s="21" t="s">
        <v>27</v>
      </c>
      <c r="M125" s="21" t="s">
        <v>28</v>
      </c>
      <c r="N125" s="21" t="s">
        <v>29</v>
      </c>
      <c r="O125" s="24">
        <v>45419</v>
      </c>
      <c r="P125" s="24">
        <v>45419</v>
      </c>
      <c r="Q125" s="21" t="s">
        <v>30</v>
      </c>
      <c r="R125" s="21">
        <f t="shared" si="9"/>
        <v>7</v>
      </c>
      <c r="S125" s="23" t="str">
        <f t="shared" si="10"/>
        <v>Yes</v>
      </c>
      <c r="T125" s="21" t="str">
        <f t="shared" si="11"/>
        <v>Matched</v>
      </c>
      <c r="U125" s="2" t="str">
        <f>IF(COUNTIFS($B$2:B125,B125,$F$2:F125,F125,$H$2:H125,H125)&gt;1,"DUPLICATE","OK")</f>
        <v>OK</v>
      </c>
    </row>
    <row r="126" spans="1:21" x14ac:dyDescent="0.35">
      <c r="A126" s="21" t="s">
        <v>327</v>
      </c>
      <c r="B126" s="21" t="s">
        <v>47</v>
      </c>
      <c r="C126" s="21" t="s">
        <v>33</v>
      </c>
      <c r="D126" s="22">
        <v>45386</v>
      </c>
      <c r="E126" s="22" t="s">
        <v>691</v>
      </c>
      <c r="F126" s="21" t="s">
        <v>328</v>
      </c>
      <c r="G126" s="21" t="s">
        <v>329</v>
      </c>
      <c r="H126" s="21">
        <v>81000</v>
      </c>
      <c r="I126" s="21" t="s">
        <v>51</v>
      </c>
      <c r="J126" s="21" t="s">
        <v>52</v>
      </c>
      <c r="K126" s="21" t="s">
        <v>26</v>
      </c>
      <c r="L126" s="21" t="s">
        <v>27</v>
      </c>
      <c r="M126" s="21" t="s">
        <v>45</v>
      </c>
      <c r="N126" s="21" t="s">
        <v>29</v>
      </c>
      <c r="O126" s="24">
        <v>45393</v>
      </c>
      <c r="P126" s="24">
        <v>45392</v>
      </c>
      <c r="Q126" s="21" t="s">
        <v>30</v>
      </c>
      <c r="R126" s="21">
        <f t="shared" si="9"/>
        <v>6</v>
      </c>
      <c r="S126" s="23" t="str">
        <f t="shared" si="10"/>
        <v>Yes</v>
      </c>
      <c r="T126" s="21" t="str">
        <f t="shared" si="11"/>
        <v>Matched</v>
      </c>
      <c r="U126" s="2" t="str">
        <f>IF(COUNTIFS($B$2:B126,B126,$F$2:F126,F126,$H$2:H126,H126)&gt;1,"DUPLICATE","OK")</f>
        <v>OK</v>
      </c>
    </row>
    <row r="127" spans="1:21" x14ac:dyDescent="0.35">
      <c r="A127" s="21" t="s">
        <v>342</v>
      </c>
      <c r="B127" s="21" t="s">
        <v>47</v>
      </c>
      <c r="C127" s="21" t="s">
        <v>40</v>
      </c>
      <c r="D127" s="22">
        <v>45391</v>
      </c>
      <c r="E127" s="22" t="s">
        <v>691</v>
      </c>
      <c r="F127" s="21" t="s">
        <v>343</v>
      </c>
      <c r="G127" s="21" t="s">
        <v>344</v>
      </c>
      <c r="H127" s="21">
        <v>105000</v>
      </c>
      <c r="I127" s="21" t="s">
        <v>51</v>
      </c>
      <c r="J127" s="21" t="s">
        <v>52</v>
      </c>
      <c r="K127" s="21" t="s">
        <v>26</v>
      </c>
      <c r="L127" s="21" t="s">
        <v>27</v>
      </c>
      <c r="M127" s="21" t="s">
        <v>45</v>
      </c>
      <c r="N127" s="21" t="s">
        <v>29</v>
      </c>
      <c r="O127" s="24">
        <v>45398</v>
      </c>
      <c r="P127" s="24">
        <v>45397</v>
      </c>
      <c r="Q127" s="21" t="s">
        <v>30</v>
      </c>
      <c r="R127" s="21">
        <f t="shared" si="9"/>
        <v>6</v>
      </c>
      <c r="S127" s="23" t="str">
        <f t="shared" si="10"/>
        <v>Yes</v>
      </c>
      <c r="T127" s="21" t="str">
        <f t="shared" si="11"/>
        <v>Matched</v>
      </c>
      <c r="U127" s="2" t="str">
        <f>IF(COUNTIFS($B$2:B127,B127,$F$2:F127,F127,$H$2:H127,H127)&gt;1,"DUPLICATE","OK")</f>
        <v>OK</v>
      </c>
    </row>
    <row r="128" spans="1:21" x14ac:dyDescent="0.35">
      <c r="A128" s="21" t="s">
        <v>357</v>
      </c>
      <c r="B128" s="21" t="s">
        <v>47</v>
      </c>
      <c r="C128" s="21" t="s">
        <v>48</v>
      </c>
      <c r="D128" s="22">
        <v>45396</v>
      </c>
      <c r="E128" s="22" t="s">
        <v>691</v>
      </c>
      <c r="F128" s="21" t="s">
        <v>358</v>
      </c>
      <c r="G128" s="21" t="s">
        <v>359</v>
      </c>
      <c r="H128" s="21">
        <v>76000</v>
      </c>
      <c r="I128" s="21" t="s">
        <v>51</v>
      </c>
      <c r="J128" s="21" t="s">
        <v>52</v>
      </c>
      <c r="K128" s="21" t="s">
        <v>26</v>
      </c>
      <c r="L128" s="21" t="s">
        <v>27</v>
      </c>
      <c r="M128" s="21" t="s">
        <v>28</v>
      </c>
      <c r="N128" s="21" t="s">
        <v>29</v>
      </c>
      <c r="O128" s="24">
        <v>45403</v>
      </c>
      <c r="P128" s="24">
        <v>45403</v>
      </c>
      <c r="Q128" s="21" t="s">
        <v>30</v>
      </c>
      <c r="R128" s="21">
        <f t="shared" si="9"/>
        <v>7</v>
      </c>
      <c r="S128" s="23" t="str">
        <f t="shared" si="10"/>
        <v>Yes</v>
      </c>
      <c r="T128" s="21" t="str">
        <f t="shared" si="11"/>
        <v>Matched</v>
      </c>
      <c r="U128" s="2" t="str">
        <f>IF(COUNTIFS($B$2:B128,B128,$F$2:F128,F128,$H$2:H128,H128)&gt;1,"DUPLICATE","OK")</f>
        <v>OK</v>
      </c>
    </row>
    <row r="129" spans="1:21" x14ac:dyDescent="0.35">
      <c r="A129" s="21" t="s">
        <v>372</v>
      </c>
      <c r="B129" s="21" t="s">
        <v>47</v>
      </c>
      <c r="C129" s="21" t="s">
        <v>21</v>
      </c>
      <c r="D129" s="22">
        <v>45401</v>
      </c>
      <c r="E129" s="22" t="s">
        <v>691</v>
      </c>
      <c r="F129" s="21" t="s">
        <v>373</v>
      </c>
      <c r="G129" s="21" t="s">
        <v>374</v>
      </c>
      <c r="H129" s="21">
        <v>92000</v>
      </c>
      <c r="I129" s="21" t="s">
        <v>51</v>
      </c>
      <c r="J129" s="21" t="s">
        <v>52</v>
      </c>
      <c r="K129" s="21" t="s">
        <v>26</v>
      </c>
      <c r="L129" s="21" t="s">
        <v>27</v>
      </c>
      <c r="M129" s="21" t="s">
        <v>45</v>
      </c>
      <c r="N129" s="21" t="s">
        <v>29</v>
      </c>
      <c r="O129" s="24">
        <v>45408</v>
      </c>
      <c r="P129" s="24">
        <v>45407</v>
      </c>
      <c r="Q129" s="21" t="s">
        <v>30</v>
      </c>
      <c r="R129" s="21">
        <f t="shared" si="9"/>
        <v>6</v>
      </c>
      <c r="S129" s="23" t="str">
        <f t="shared" si="10"/>
        <v>Yes</v>
      </c>
      <c r="T129" s="21" t="str">
        <f t="shared" si="11"/>
        <v>Matched</v>
      </c>
      <c r="U129" s="2" t="str">
        <f>IF(COUNTIFS($B$2:B129,B129,$F$2:F129,F129,$H$2:H129,H129)&gt;1,"DUPLICATE","OK")</f>
        <v>OK</v>
      </c>
    </row>
    <row r="130" spans="1:21" x14ac:dyDescent="0.35">
      <c r="A130" s="21" t="s">
        <v>387</v>
      </c>
      <c r="B130" s="21" t="s">
        <v>47</v>
      </c>
      <c r="C130" s="21" t="s">
        <v>33</v>
      </c>
      <c r="D130" s="22">
        <v>45406</v>
      </c>
      <c r="E130" s="22" t="s">
        <v>691</v>
      </c>
      <c r="F130" s="21" t="s">
        <v>388</v>
      </c>
      <c r="G130" s="21" t="s">
        <v>389</v>
      </c>
      <c r="H130" s="21">
        <v>73000</v>
      </c>
      <c r="I130" s="21" t="s">
        <v>51</v>
      </c>
      <c r="J130" s="21" t="s">
        <v>52</v>
      </c>
      <c r="K130" s="21" t="s">
        <v>26</v>
      </c>
      <c r="L130" s="21" t="s">
        <v>27</v>
      </c>
      <c r="M130" s="21" t="s">
        <v>45</v>
      </c>
      <c r="N130" s="21" t="s">
        <v>29</v>
      </c>
      <c r="O130" s="24">
        <v>45413</v>
      </c>
      <c r="P130" s="24">
        <v>45412</v>
      </c>
      <c r="Q130" s="21" t="s">
        <v>30</v>
      </c>
      <c r="R130" s="21">
        <f t="shared" ref="R130:R161" si="12">IF(P130="-","-",P130-D130)</f>
        <v>6</v>
      </c>
      <c r="S130" s="23" t="str">
        <f t="shared" ref="S130:S161" si="13">IF(R130="-","-",IF(R130&lt;=7,"Yes","No"))</f>
        <v>Yes</v>
      </c>
      <c r="T130" s="21" t="str">
        <f t="shared" ref="T130:T161" si="14">IF(AND(F130&lt;&gt;"MISSING",G130&lt;&gt;"MISSING"),"Matched","Mismatched")</f>
        <v>Matched</v>
      </c>
      <c r="U130" s="2" t="str">
        <f>IF(COUNTIFS($B$2:B130,B130,$F$2:F130,F130,$H$2:H130,H130)&gt;1,"DUPLICATE","OK")</f>
        <v>OK</v>
      </c>
    </row>
    <row r="131" spans="1:21" x14ac:dyDescent="0.35">
      <c r="A131" s="21" t="s">
        <v>402</v>
      </c>
      <c r="B131" s="21" t="s">
        <v>47</v>
      </c>
      <c r="C131" s="21" t="s">
        <v>40</v>
      </c>
      <c r="D131" s="22">
        <v>45411</v>
      </c>
      <c r="E131" s="22" t="s">
        <v>691</v>
      </c>
      <c r="F131" s="21" t="s">
        <v>403</v>
      </c>
      <c r="G131" s="21" t="s">
        <v>404</v>
      </c>
      <c r="H131" s="21">
        <v>88000</v>
      </c>
      <c r="I131" s="21" t="s">
        <v>51</v>
      </c>
      <c r="J131" s="21" t="s">
        <v>52</v>
      </c>
      <c r="K131" s="21" t="s">
        <v>26</v>
      </c>
      <c r="L131" s="21" t="s">
        <v>27</v>
      </c>
      <c r="M131" s="21" t="s">
        <v>45</v>
      </c>
      <c r="N131" s="21" t="s">
        <v>29</v>
      </c>
      <c r="O131" s="24">
        <v>45418</v>
      </c>
      <c r="P131" s="24">
        <v>45417</v>
      </c>
      <c r="Q131" s="21" t="s">
        <v>30</v>
      </c>
      <c r="R131" s="21">
        <f t="shared" si="12"/>
        <v>6</v>
      </c>
      <c r="S131" s="23" t="str">
        <f t="shared" si="13"/>
        <v>Yes</v>
      </c>
      <c r="T131" s="21" t="str">
        <f t="shared" si="14"/>
        <v>Matched</v>
      </c>
      <c r="U131" s="2" t="str">
        <f>IF(COUNTIFS($B$2:B131,B131,$F$2:F131,F131,$H$2:H131,H131)&gt;1,"DUPLICATE","OK")</f>
        <v>OK</v>
      </c>
    </row>
    <row r="132" spans="1:21" x14ac:dyDescent="0.35">
      <c r="A132" s="21" t="s">
        <v>416</v>
      </c>
      <c r="B132" s="21" t="s">
        <v>39</v>
      </c>
      <c r="C132" s="21" t="s">
        <v>40</v>
      </c>
      <c r="D132" s="22">
        <v>45415</v>
      </c>
      <c r="E132" s="22" t="s">
        <v>692</v>
      </c>
      <c r="F132" s="21" t="s">
        <v>417</v>
      </c>
      <c r="G132" s="21" t="s">
        <v>418</v>
      </c>
      <c r="H132" s="21">
        <v>-18000</v>
      </c>
      <c r="I132" s="21" t="s">
        <v>43</v>
      </c>
      <c r="J132" s="21" t="s">
        <v>44</v>
      </c>
      <c r="K132" s="21" t="s">
        <v>411</v>
      </c>
      <c r="L132" s="21" t="s">
        <v>27</v>
      </c>
      <c r="M132" s="21" t="s">
        <v>62</v>
      </c>
      <c r="N132" s="21" t="s">
        <v>29</v>
      </c>
      <c r="O132" s="24">
        <v>45422</v>
      </c>
      <c r="P132" s="24">
        <v>45422</v>
      </c>
      <c r="Q132" s="21" t="s">
        <v>412</v>
      </c>
      <c r="R132" s="21">
        <f t="shared" si="12"/>
        <v>7</v>
      </c>
      <c r="S132" s="23" t="str">
        <f t="shared" si="13"/>
        <v>Yes</v>
      </c>
      <c r="T132" s="21" t="str">
        <f t="shared" si="14"/>
        <v>Matched</v>
      </c>
      <c r="U132" s="2" t="str">
        <f>IF(COUNTIFS($B$2:B132,B132,$F$2:F132,F132,$H$2:H132,H132)&gt;1,"DUPLICATE","OK")</f>
        <v>OK</v>
      </c>
    </row>
    <row r="133" spans="1:21" x14ac:dyDescent="0.35">
      <c r="A133" s="21" t="s">
        <v>431</v>
      </c>
      <c r="B133" s="21" t="s">
        <v>39</v>
      </c>
      <c r="C133" s="21" t="s">
        <v>48</v>
      </c>
      <c r="D133" s="22">
        <v>45420</v>
      </c>
      <c r="E133" s="22" t="s">
        <v>692</v>
      </c>
      <c r="F133" s="21" t="s">
        <v>432</v>
      </c>
      <c r="G133" s="21" t="s">
        <v>433</v>
      </c>
      <c r="H133" s="21">
        <v>52000</v>
      </c>
      <c r="I133" s="21" t="s">
        <v>43</v>
      </c>
      <c r="J133" s="21" t="s">
        <v>44</v>
      </c>
      <c r="K133" s="21" t="s">
        <v>26</v>
      </c>
      <c r="L133" s="21" t="s">
        <v>27</v>
      </c>
      <c r="M133" s="21" t="s">
        <v>62</v>
      </c>
      <c r="N133" s="21" t="s">
        <v>29</v>
      </c>
      <c r="O133" s="24">
        <v>45427</v>
      </c>
      <c r="P133" s="24">
        <v>45427</v>
      </c>
      <c r="Q133" s="21" t="s">
        <v>30</v>
      </c>
      <c r="R133" s="21">
        <f t="shared" si="12"/>
        <v>7</v>
      </c>
      <c r="S133" s="23" t="str">
        <f t="shared" si="13"/>
        <v>Yes</v>
      </c>
      <c r="T133" s="21" t="str">
        <f t="shared" si="14"/>
        <v>Matched</v>
      </c>
      <c r="U133" s="2" t="str">
        <f>IF(COUNTIFS($B$2:B133,B133,$F$2:F133,F133,$H$2:H133,H133)&gt;1,"DUPLICATE","OK")</f>
        <v>OK</v>
      </c>
    </row>
    <row r="134" spans="1:21" x14ac:dyDescent="0.35">
      <c r="A134" s="21" t="s">
        <v>446</v>
      </c>
      <c r="B134" s="21" t="s">
        <v>39</v>
      </c>
      <c r="C134" s="21" t="s">
        <v>21</v>
      </c>
      <c r="D134" s="22">
        <v>45425</v>
      </c>
      <c r="E134" s="22" t="s">
        <v>692</v>
      </c>
      <c r="F134" s="21" t="s">
        <v>447</v>
      </c>
      <c r="G134" s="21" t="s">
        <v>448</v>
      </c>
      <c r="H134" s="21">
        <v>59000</v>
      </c>
      <c r="I134" s="21" t="s">
        <v>43</v>
      </c>
      <c r="J134" s="21" t="s">
        <v>44</v>
      </c>
      <c r="K134" s="21" t="s">
        <v>26</v>
      </c>
      <c r="L134" s="21" t="s">
        <v>27</v>
      </c>
      <c r="M134" s="21" t="s">
        <v>62</v>
      </c>
      <c r="N134" s="21" t="s">
        <v>29</v>
      </c>
      <c r="O134" s="24">
        <v>45432</v>
      </c>
      <c r="P134" s="24">
        <v>45432</v>
      </c>
      <c r="Q134" s="21" t="s">
        <v>30</v>
      </c>
      <c r="R134" s="21">
        <f t="shared" si="12"/>
        <v>7</v>
      </c>
      <c r="S134" s="23" t="str">
        <f t="shared" si="13"/>
        <v>Yes</v>
      </c>
      <c r="T134" s="21" t="str">
        <f t="shared" si="14"/>
        <v>Matched</v>
      </c>
      <c r="U134" s="2" t="str">
        <f>IF(COUNTIFS($B$2:B134,B134,$F$2:F134,F134,$H$2:H134,H134)&gt;1,"DUPLICATE","OK")</f>
        <v>OK</v>
      </c>
    </row>
    <row r="135" spans="1:21" x14ac:dyDescent="0.35">
      <c r="A135" s="21" t="s">
        <v>461</v>
      </c>
      <c r="B135" s="21" t="s">
        <v>39</v>
      </c>
      <c r="C135" s="21" t="s">
        <v>33</v>
      </c>
      <c r="D135" s="22">
        <v>45430</v>
      </c>
      <c r="E135" s="22" t="s">
        <v>692</v>
      </c>
      <c r="F135" s="21" t="s">
        <v>462</v>
      </c>
      <c r="G135" s="21" t="s">
        <v>463</v>
      </c>
      <c r="H135" s="21">
        <v>67000</v>
      </c>
      <c r="I135" s="21" t="s">
        <v>43</v>
      </c>
      <c r="J135" s="21" t="s">
        <v>44</v>
      </c>
      <c r="K135" s="21" t="s">
        <v>26</v>
      </c>
      <c r="L135" s="21" t="s">
        <v>27</v>
      </c>
      <c r="M135" s="21" t="s">
        <v>28</v>
      </c>
      <c r="N135" s="21" t="s">
        <v>29</v>
      </c>
      <c r="O135" s="24">
        <v>45437</v>
      </c>
      <c r="P135" s="24">
        <v>45437</v>
      </c>
      <c r="Q135" s="21" t="s">
        <v>30</v>
      </c>
      <c r="R135" s="21">
        <f t="shared" si="12"/>
        <v>7</v>
      </c>
      <c r="S135" s="23" t="str">
        <f t="shared" si="13"/>
        <v>Yes</v>
      </c>
      <c r="T135" s="21" t="str">
        <f t="shared" si="14"/>
        <v>Matched</v>
      </c>
      <c r="U135" s="2" t="str">
        <f>IF(COUNTIFS($B$2:B135,B135,$F$2:F135,F135,$H$2:H135,H135)&gt;1,"DUPLICATE","OK")</f>
        <v>OK</v>
      </c>
    </row>
    <row r="136" spans="1:21" x14ac:dyDescent="0.35">
      <c r="A136" s="21" t="s">
        <v>476</v>
      </c>
      <c r="B136" s="21" t="s">
        <v>39</v>
      </c>
      <c r="C136" s="21" t="s">
        <v>40</v>
      </c>
      <c r="D136" s="22">
        <v>45435</v>
      </c>
      <c r="E136" s="22" t="s">
        <v>692</v>
      </c>
      <c r="F136" s="21" t="s">
        <v>477</v>
      </c>
      <c r="G136" s="21" t="s">
        <v>478</v>
      </c>
      <c r="H136" s="21">
        <v>55000</v>
      </c>
      <c r="I136" s="21" t="s">
        <v>43</v>
      </c>
      <c r="J136" s="21" t="s">
        <v>44</v>
      </c>
      <c r="K136" s="21" t="s">
        <v>26</v>
      </c>
      <c r="L136" s="21" t="s">
        <v>27</v>
      </c>
      <c r="M136" s="21" t="s">
        <v>62</v>
      </c>
      <c r="N136" s="21" t="s">
        <v>29</v>
      </c>
      <c r="O136" s="24">
        <v>45442</v>
      </c>
      <c r="P136" s="24">
        <v>45442</v>
      </c>
      <c r="Q136" s="21" t="s">
        <v>30</v>
      </c>
      <c r="R136" s="21">
        <f t="shared" si="12"/>
        <v>7</v>
      </c>
      <c r="S136" s="23" t="str">
        <f t="shared" si="13"/>
        <v>Yes</v>
      </c>
      <c r="T136" s="21" t="str">
        <f t="shared" si="14"/>
        <v>Matched</v>
      </c>
      <c r="U136" s="2" t="str">
        <f>IF(COUNTIFS($B$2:B136,B136,$F$2:F136,F136,$H$2:H136,H136)&gt;1,"DUPLICATE","OK")</f>
        <v>OK</v>
      </c>
    </row>
    <row r="137" spans="1:21" x14ac:dyDescent="0.35">
      <c r="A137" s="21" t="s">
        <v>491</v>
      </c>
      <c r="B137" s="21" t="s">
        <v>39</v>
      </c>
      <c r="C137" s="21" t="s">
        <v>48</v>
      </c>
      <c r="D137" s="22">
        <v>45440</v>
      </c>
      <c r="E137" s="22" t="s">
        <v>692</v>
      </c>
      <c r="F137" s="21" t="s">
        <v>492</v>
      </c>
      <c r="G137" s="21" t="s">
        <v>493</v>
      </c>
      <c r="H137" s="21">
        <v>71000</v>
      </c>
      <c r="I137" s="21" t="s">
        <v>43</v>
      </c>
      <c r="J137" s="21" t="s">
        <v>44</v>
      </c>
      <c r="K137" s="21" t="s">
        <v>26</v>
      </c>
      <c r="L137" s="21" t="s">
        <v>27</v>
      </c>
      <c r="M137" s="21" t="s">
        <v>28</v>
      </c>
      <c r="N137" s="21" t="s">
        <v>29</v>
      </c>
      <c r="O137" s="24">
        <v>45447</v>
      </c>
      <c r="P137" s="24">
        <v>45449</v>
      </c>
      <c r="Q137" s="21" t="s">
        <v>173</v>
      </c>
      <c r="R137" s="21">
        <f t="shared" si="12"/>
        <v>9</v>
      </c>
      <c r="S137" s="23" t="str">
        <f t="shared" si="13"/>
        <v>No</v>
      </c>
      <c r="T137" s="21" t="str">
        <f t="shared" si="14"/>
        <v>Matched</v>
      </c>
      <c r="U137" s="2" t="str">
        <f>IF(COUNTIFS($B$2:B137,B137,$F$2:F137,F137,$H$2:H137,H137)&gt;1,"DUPLICATE","OK")</f>
        <v>OK</v>
      </c>
    </row>
    <row r="138" spans="1:21" x14ac:dyDescent="0.35">
      <c r="A138" s="21" t="s">
        <v>413</v>
      </c>
      <c r="B138" s="21" t="s">
        <v>32</v>
      </c>
      <c r="C138" s="21" t="s">
        <v>33</v>
      </c>
      <c r="D138" s="22">
        <v>45414</v>
      </c>
      <c r="E138" s="22" t="s">
        <v>692</v>
      </c>
      <c r="F138" s="21" t="s">
        <v>414</v>
      </c>
      <c r="G138" s="21" t="s">
        <v>415</v>
      </c>
      <c r="H138" s="21">
        <v>-22000</v>
      </c>
      <c r="I138" s="21" t="s">
        <v>36</v>
      </c>
      <c r="J138" s="21" t="s">
        <v>37</v>
      </c>
      <c r="K138" s="21" t="s">
        <v>411</v>
      </c>
      <c r="L138" s="21" t="s">
        <v>27</v>
      </c>
      <c r="M138" s="21" t="s">
        <v>28</v>
      </c>
      <c r="N138" s="21" t="s">
        <v>29</v>
      </c>
      <c r="O138" s="24">
        <v>45421</v>
      </c>
      <c r="P138" s="24">
        <v>45421</v>
      </c>
      <c r="Q138" s="21" t="s">
        <v>412</v>
      </c>
      <c r="R138" s="21">
        <f t="shared" si="12"/>
        <v>7</v>
      </c>
      <c r="S138" s="23" t="str">
        <f t="shared" si="13"/>
        <v>Yes</v>
      </c>
      <c r="T138" s="21" t="str">
        <f t="shared" si="14"/>
        <v>Matched</v>
      </c>
      <c r="U138" s="2" t="str">
        <f>IF(COUNTIFS($B$2:B138,B138,$F$2:F138,F138,$H$2:H138,H138)&gt;1,"DUPLICATE","OK")</f>
        <v>OK</v>
      </c>
    </row>
    <row r="139" spans="1:21" x14ac:dyDescent="0.35">
      <c r="A139" s="21" t="s">
        <v>428</v>
      </c>
      <c r="B139" s="21" t="s">
        <v>32</v>
      </c>
      <c r="C139" s="21" t="s">
        <v>40</v>
      </c>
      <c r="D139" s="22">
        <v>45419</v>
      </c>
      <c r="E139" s="22" t="s">
        <v>692</v>
      </c>
      <c r="F139" s="21" t="s">
        <v>429</v>
      </c>
      <c r="G139" s="21" t="s">
        <v>430</v>
      </c>
      <c r="H139" s="21">
        <v>97000</v>
      </c>
      <c r="I139" s="21" t="s">
        <v>36</v>
      </c>
      <c r="J139" s="21" t="s">
        <v>37</v>
      </c>
      <c r="K139" s="21" t="s">
        <v>26</v>
      </c>
      <c r="L139" s="21" t="s">
        <v>27</v>
      </c>
      <c r="M139" s="21" t="s">
        <v>28</v>
      </c>
      <c r="N139" s="21" t="s">
        <v>29</v>
      </c>
      <c r="O139" s="24">
        <v>45426</v>
      </c>
      <c r="P139" s="24">
        <v>45426</v>
      </c>
      <c r="Q139" s="21" t="s">
        <v>30</v>
      </c>
      <c r="R139" s="21">
        <f t="shared" si="12"/>
        <v>7</v>
      </c>
      <c r="S139" s="23" t="str">
        <f t="shared" si="13"/>
        <v>Yes</v>
      </c>
      <c r="T139" s="21" t="str">
        <f t="shared" si="14"/>
        <v>Matched</v>
      </c>
      <c r="U139" s="2" t="str">
        <f>IF(COUNTIFS($B$2:B139,B139,$F$2:F139,F139,$H$2:H139,H139)&gt;1,"DUPLICATE","OK")</f>
        <v>OK</v>
      </c>
    </row>
    <row r="140" spans="1:21" x14ac:dyDescent="0.35">
      <c r="A140" s="21" t="s">
        <v>443</v>
      </c>
      <c r="B140" s="21" t="s">
        <v>32</v>
      </c>
      <c r="C140" s="21" t="s">
        <v>48</v>
      </c>
      <c r="D140" s="22">
        <v>45424</v>
      </c>
      <c r="E140" s="22" t="s">
        <v>692</v>
      </c>
      <c r="F140" s="21" t="s">
        <v>444</v>
      </c>
      <c r="G140" s="21" t="s">
        <v>445</v>
      </c>
      <c r="H140" s="21">
        <v>78000</v>
      </c>
      <c r="I140" s="21" t="s">
        <v>36</v>
      </c>
      <c r="J140" s="21" t="s">
        <v>37</v>
      </c>
      <c r="K140" s="21" t="s">
        <v>26</v>
      </c>
      <c r="L140" s="21" t="s">
        <v>113</v>
      </c>
      <c r="M140" s="21" t="s">
        <v>28</v>
      </c>
      <c r="N140" s="21" t="s">
        <v>114</v>
      </c>
      <c r="O140" s="24">
        <v>45431</v>
      </c>
      <c r="P140" s="21" t="s">
        <v>30</v>
      </c>
      <c r="Q140" s="21" t="s">
        <v>115</v>
      </c>
      <c r="R140" s="21" t="str">
        <f t="shared" si="12"/>
        <v>-</v>
      </c>
      <c r="S140" s="23" t="str">
        <f t="shared" si="13"/>
        <v>-</v>
      </c>
      <c r="T140" s="21" t="str">
        <f t="shared" si="14"/>
        <v>Matched</v>
      </c>
      <c r="U140" s="2" t="str">
        <f>IF(COUNTIFS($B$2:B140,B140,$F$2:F140,F140,$H$2:H140,H140)&gt;1,"DUPLICATE","OK")</f>
        <v>OK</v>
      </c>
    </row>
    <row r="141" spans="1:21" x14ac:dyDescent="0.35">
      <c r="A141" s="21" t="s">
        <v>458</v>
      </c>
      <c r="B141" s="21" t="s">
        <v>32</v>
      </c>
      <c r="C141" s="21" t="s">
        <v>21</v>
      </c>
      <c r="D141" s="22">
        <v>45429</v>
      </c>
      <c r="E141" s="22" t="s">
        <v>692</v>
      </c>
      <c r="F141" s="21" t="s">
        <v>459</v>
      </c>
      <c r="G141" s="21" t="s">
        <v>460</v>
      </c>
      <c r="H141" s="21">
        <v>111000</v>
      </c>
      <c r="I141" s="21" t="s">
        <v>36</v>
      </c>
      <c r="J141" s="21" t="s">
        <v>37</v>
      </c>
      <c r="K141" s="21" t="s">
        <v>26</v>
      </c>
      <c r="L141" s="21" t="s">
        <v>27</v>
      </c>
      <c r="M141" s="21" t="s">
        <v>28</v>
      </c>
      <c r="N141" s="21" t="s">
        <v>29</v>
      </c>
      <c r="O141" s="24">
        <v>45436</v>
      </c>
      <c r="P141" s="24">
        <v>45436</v>
      </c>
      <c r="Q141" s="21" t="s">
        <v>30</v>
      </c>
      <c r="R141" s="21">
        <f t="shared" si="12"/>
        <v>7</v>
      </c>
      <c r="S141" s="23" t="str">
        <f t="shared" si="13"/>
        <v>Yes</v>
      </c>
      <c r="T141" s="21" t="str">
        <f t="shared" si="14"/>
        <v>Matched</v>
      </c>
      <c r="U141" s="2" t="str">
        <f>IF(COUNTIFS($B$2:B141,B141,$F$2:F141,F141,$H$2:H141,H141)&gt;1,"DUPLICATE","OK")</f>
        <v>OK</v>
      </c>
    </row>
    <row r="142" spans="1:21" x14ac:dyDescent="0.35">
      <c r="A142" s="21" t="s">
        <v>473</v>
      </c>
      <c r="B142" s="21" t="s">
        <v>32</v>
      </c>
      <c r="C142" s="21" t="s">
        <v>33</v>
      </c>
      <c r="D142" s="22">
        <v>45434</v>
      </c>
      <c r="E142" s="22" t="s">
        <v>692</v>
      </c>
      <c r="F142" s="21" t="s">
        <v>474</v>
      </c>
      <c r="G142" s="21" t="s">
        <v>475</v>
      </c>
      <c r="H142" s="21">
        <v>-28000</v>
      </c>
      <c r="I142" s="21" t="s">
        <v>36</v>
      </c>
      <c r="J142" s="21" t="s">
        <v>37</v>
      </c>
      <c r="K142" s="21" t="s">
        <v>411</v>
      </c>
      <c r="L142" s="21" t="s">
        <v>27</v>
      </c>
      <c r="M142" s="21" t="s">
        <v>28</v>
      </c>
      <c r="N142" s="21" t="s">
        <v>29</v>
      </c>
      <c r="O142" s="24">
        <v>45441</v>
      </c>
      <c r="P142" s="24">
        <v>45441</v>
      </c>
      <c r="Q142" s="21" t="s">
        <v>412</v>
      </c>
      <c r="R142" s="21">
        <f t="shared" si="12"/>
        <v>7</v>
      </c>
      <c r="S142" s="23" t="str">
        <f t="shared" si="13"/>
        <v>Yes</v>
      </c>
      <c r="T142" s="21" t="str">
        <f t="shared" si="14"/>
        <v>Matched</v>
      </c>
      <c r="U142" s="2" t="str">
        <f>IF(COUNTIFS($B$2:B142,B142,$F$2:F142,F142,$H$2:H142,H142)&gt;1,"DUPLICATE","OK")</f>
        <v>OK</v>
      </c>
    </row>
    <row r="143" spans="1:21" x14ac:dyDescent="0.35">
      <c r="A143" s="21" t="s">
        <v>488</v>
      </c>
      <c r="B143" s="21" t="s">
        <v>32</v>
      </c>
      <c r="C143" s="21" t="s">
        <v>40</v>
      </c>
      <c r="D143" s="22">
        <v>45439</v>
      </c>
      <c r="E143" s="22" t="s">
        <v>692</v>
      </c>
      <c r="F143" s="21" t="s">
        <v>489</v>
      </c>
      <c r="G143" s="21" t="s">
        <v>490</v>
      </c>
      <c r="H143" s="21">
        <v>88000</v>
      </c>
      <c r="I143" s="21" t="s">
        <v>36</v>
      </c>
      <c r="J143" s="21" t="s">
        <v>37</v>
      </c>
      <c r="K143" s="21" t="s">
        <v>26</v>
      </c>
      <c r="L143" s="21" t="s">
        <v>27</v>
      </c>
      <c r="M143" s="21" t="s">
        <v>28</v>
      </c>
      <c r="N143" s="21" t="s">
        <v>29</v>
      </c>
      <c r="O143" s="24">
        <v>45446</v>
      </c>
      <c r="P143" s="24">
        <v>45446</v>
      </c>
      <c r="Q143" s="21" t="s">
        <v>30</v>
      </c>
      <c r="R143" s="21">
        <f t="shared" si="12"/>
        <v>7</v>
      </c>
      <c r="S143" s="23" t="str">
        <f t="shared" si="13"/>
        <v>Yes</v>
      </c>
      <c r="T143" s="21" t="str">
        <f t="shared" si="14"/>
        <v>Matched</v>
      </c>
      <c r="U143" s="2" t="str">
        <f>IF(COUNTIFS($B$2:B143,B143,$F$2:F143,F143,$H$2:H143,H143)&gt;1,"DUPLICATE","OK")</f>
        <v>OK</v>
      </c>
    </row>
    <row r="144" spans="1:21" x14ac:dyDescent="0.35">
      <c r="A144" s="21" t="s">
        <v>408</v>
      </c>
      <c r="B144" s="21" t="s">
        <v>20</v>
      </c>
      <c r="C144" s="21" t="s">
        <v>21</v>
      </c>
      <c r="D144" s="22">
        <v>45413</v>
      </c>
      <c r="E144" s="22" t="s">
        <v>692</v>
      </c>
      <c r="F144" s="21" t="s">
        <v>409</v>
      </c>
      <c r="G144" s="21" t="s">
        <v>410</v>
      </c>
      <c r="H144" s="21">
        <v>-15000</v>
      </c>
      <c r="I144" s="21" t="s">
        <v>24</v>
      </c>
      <c r="J144" s="21" t="s">
        <v>25</v>
      </c>
      <c r="K144" s="21" t="s">
        <v>411</v>
      </c>
      <c r="L144" s="21" t="s">
        <v>27</v>
      </c>
      <c r="M144" s="21" t="s">
        <v>28</v>
      </c>
      <c r="N144" s="21" t="s">
        <v>29</v>
      </c>
      <c r="O144" s="24">
        <v>45420</v>
      </c>
      <c r="P144" s="24">
        <v>45420</v>
      </c>
      <c r="Q144" s="21" t="s">
        <v>412</v>
      </c>
      <c r="R144" s="21">
        <f t="shared" si="12"/>
        <v>7</v>
      </c>
      <c r="S144" s="23" t="str">
        <f t="shared" si="13"/>
        <v>Yes</v>
      </c>
      <c r="T144" s="21" t="str">
        <f t="shared" si="14"/>
        <v>Matched</v>
      </c>
      <c r="U144" s="2" t="str">
        <f>IF(COUNTIFS($B$2:B144,B144,$F$2:F144,F144,$H$2:H144,H144)&gt;1,"DUPLICATE","OK")</f>
        <v>OK</v>
      </c>
    </row>
    <row r="145" spans="1:21" x14ac:dyDescent="0.35">
      <c r="A145" s="21" t="s">
        <v>425</v>
      </c>
      <c r="B145" s="21" t="s">
        <v>20</v>
      </c>
      <c r="C145" s="21" t="s">
        <v>33</v>
      </c>
      <c r="D145" s="22">
        <v>45418</v>
      </c>
      <c r="E145" s="22" t="s">
        <v>692</v>
      </c>
      <c r="F145" s="21" t="s">
        <v>426</v>
      </c>
      <c r="G145" s="21" t="s">
        <v>427</v>
      </c>
      <c r="H145" s="21">
        <v>61000</v>
      </c>
      <c r="I145" s="21" t="s">
        <v>24</v>
      </c>
      <c r="J145" s="21" t="s">
        <v>25</v>
      </c>
      <c r="K145" s="21" t="s">
        <v>26</v>
      </c>
      <c r="L145" s="21" t="s">
        <v>27</v>
      </c>
      <c r="M145" s="21" t="s">
        <v>28</v>
      </c>
      <c r="N145" s="21" t="s">
        <v>29</v>
      </c>
      <c r="O145" s="24">
        <v>45425</v>
      </c>
      <c r="P145" s="24">
        <v>45425</v>
      </c>
      <c r="Q145" s="21" t="s">
        <v>30</v>
      </c>
      <c r="R145" s="21">
        <f t="shared" si="12"/>
        <v>7</v>
      </c>
      <c r="S145" s="23" t="str">
        <f t="shared" si="13"/>
        <v>Yes</v>
      </c>
      <c r="T145" s="21" t="str">
        <f t="shared" si="14"/>
        <v>Matched</v>
      </c>
      <c r="U145" s="2" t="str">
        <f>IF(COUNTIFS($B$2:B145,B145,$F$2:F145,F145,$H$2:H145,H145)&gt;1,"DUPLICATE","OK")</f>
        <v>OK</v>
      </c>
    </row>
    <row r="146" spans="1:21" x14ac:dyDescent="0.35">
      <c r="A146" s="21" t="s">
        <v>440</v>
      </c>
      <c r="B146" s="21" t="s">
        <v>20</v>
      </c>
      <c r="C146" s="21" t="s">
        <v>40</v>
      </c>
      <c r="D146" s="22">
        <v>45423</v>
      </c>
      <c r="E146" s="22" t="s">
        <v>692</v>
      </c>
      <c r="F146" s="21" t="s">
        <v>441</v>
      </c>
      <c r="G146" s="21" t="s">
        <v>442</v>
      </c>
      <c r="H146" s="21">
        <v>44000</v>
      </c>
      <c r="I146" s="21" t="s">
        <v>24</v>
      </c>
      <c r="J146" s="21" t="s">
        <v>25</v>
      </c>
      <c r="K146" s="21" t="s">
        <v>26</v>
      </c>
      <c r="L146" s="21" t="s">
        <v>27</v>
      </c>
      <c r="M146" s="21" t="s">
        <v>28</v>
      </c>
      <c r="N146" s="21" t="s">
        <v>108</v>
      </c>
      <c r="O146" s="24">
        <v>45430</v>
      </c>
      <c r="P146" s="21" t="s">
        <v>30</v>
      </c>
      <c r="Q146" s="21" t="s">
        <v>109</v>
      </c>
      <c r="R146" s="21" t="str">
        <f t="shared" si="12"/>
        <v>-</v>
      </c>
      <c r="S146" s="23" t="str">
        <f t="shared" si="13"/>
        <v>-</v>
      </c>
      <c r="T146" s="21" t="str">
        <f t="shared" si="14"/>
        <v>Matched</v>
      </c>
      <c r="U146" s="2" t="str">
        <f>IF(COUNTIFS($B$2:B146,B146,$F$2:F146,F146,$H$2:H146,H146)&gt;1,"DUPLICATE","OK")</f>
        <v>OK</v>
      </c>
    </row>
    <row r="147" spans="1:21" x14ac:dyDescent="0.35">
      <c r="A147" s="21" t="s">
        <v>455</v>
      </c>
      <c r="B147" s="21" t="s">
        <v>20</v>
      </c>
      <c r="C147" s="21" t="s">
        <v>48</v>
      </c>
      <c r="D147" s="22">
        <v>45428</v>
      </c>
      <c r="E147" s="22" t="s">
        <v>692</v>
      </c>
      <c r="F147" s="21" t="s">
        <v>456</v>
      </c>
      <c r="G147" s="21" t="s">
        <v>457</v>
      </c>
      <c r="H147" s="21">
        <v>36000</v>
      </c>
      <c r="I147" s="21" t="s">
        <v>24</v>
      </c>
      <c r="J147" s="21" t="s">
        <v>25</v>
      </c>
      <c r="K147" s="21" t="s">
        <v>26</v>
      </c>
      <c r="L147" s="21" t="s">
        <v>27</v>
      </c>
      <c r="M147" s="21" t="s">
        <v>62</v>
      </c>
      <c r="N147" s="21" t="s">
        <v>29</v>
      </c>
      <c r="O147" s="24">
        <v>45435</v>
      </c>
      <c r="P147" s="24">
        <v>45435</v>
      </c>
      <c r="Q147" s="21" t="s">
        <v>30</v>
      </c>
      <c r="R147" s="21">
        <f t="shared" si="12"/>
        <v>7</v>
      </c>
      <c r="S147" s="23" t="str">
        <f t="shared" si="13"/>
        <v>Yes</v>
      </c>
      <c r="T147" s="21" t="str">
        <f t="shared" si="14"/>
        <v>Matched</v>
      </c>
      <c r="U147" s="2" t="str">
        <f>IF(COUNTIFS($B$2:B147,B147,$F$2:F147,F147,$H$2:H147,H147)&gt;1,"DUPLICATE","OK")</f>
        <v>OK</v>
      </c>
    </row>
    <row r="148" spans="1:21" x14ac:dyDescent="0.35">
      <c r="A148" s="21" t="s">
        <v>470</v>
      </c>
      <c r="B148" s="21" t="s">
        <v>20</v>
      </c>
      <c r="C148" s="21" t="s">
        <v>21</v>
      </c>
      <c r="D148" s="22">
        <v>45433</v>
      </c>
      <c r="E148" s="22" t="s">
        <v>692</v>
      </c>
      <c r="F148" s="21" t="s">
        <v>471</v>
      </c>
      <c r="G148" s="21" t="s">
        <v>472</v>
      </c>
      <c r="H148" s="21">
        <v>-12000</v>
      </c>
      <c r="I148" s="21" t="s">
        <v>24</v>
      </c>
      <c r="J148" s="21" t="s">
        <v>25</v>
      </c>
      <c r="K148" s="21" t="s">
        <v>411</v>
      </c>
      <c r="L148" s="21" t="s">
        <v>27</v>
      </c>
      <c r="M148" s="21" t="s">
        <v>28</v>
      </c>
      <c r="N148" s="21" t="s">
        <v>29</v>
      </c>
      <c r="O148" s="24">
        <v>45440</v>
      </c>
      <c r="P148" s="24">
        <v>45440</v>
      </c>
      <c r="Q148" s="21" t="s">
        <v>412</v>
      </c>
      <c r="R148" s="21">
        <f t="shared" si="12"/>
        <v>7</v>
      </c>
      <c r="S148" s="23" t="str">
        <f t="shared" si="13"/>
        <v>Yes</v>
      </c>
      <c r="T148" s="21" t="str">
        <f t="shared" si="14"/>
        <v>Matched</v>
      </c>
      <c r="U148" s="2" t="str">
        <f>IF(COUNTIFS($B$2:B148,B148,$F$2:F148,F148,$H$2:H148,H148)&gt;1,"DUPLICATE","OK")</f>
        <v>OK</v>
      </c>
    </row>
    <row r="149" spans="1:21" x14ac:dyDescent="0.35">
      <c r="A149" s="21" t="s">
        <v>485</v>
      </c>
      <c r="B149" s="21" t="s">
        <v>20</v>
      </c>
      <c r="C149" s="21" t="s">
        <v>33</v>
      </c>
      <c r="D149" s="22">
        <v>45438</v>
      </c>
      <c r="E149" s="22" t="s">
        <v>692</v>
      </c>
      <c r="F149" s="21" t="s">
        <v>486</v>
      </c>
      <c r="G149" s="21" t="s">
        <v>487</v>
      </c>
      <c r="H149" s="21">
        <v>43000</v>
      </c>
      <c r="I149" s="21" t="s">
        <v>24</v>
      </c>
      <c r="J149" s="21" t="s">
        <v>25</v>
      </c>
      <c r="K149" s="21" t="s">
        <v>26</v>
      </c>
      <c r="L149" s="21" t="s">
        <v>27</v>
      </c>
      <c r="M149" s="21" t="s">
        <v>62</v>
      </c>
      <c r="N149" s="21" t="s">
        <v>29</v>
      </c>
      <c r="O149" s="24">
        <v>45445</v>
      </c>
      <c r="P149" s="24">
        <v>45445</v>
      </c>
      <c r="Q149" s="21" t="s">
        <v>30</v>
      </c>
      <c r="R149" s="21">
        <f t="shared" si="12"/>
        <v>7</v>
      </c>
      <c r="S149" s="23" t="str">
        <f t="shared" si="13"/>
        <v>Yes</v>
      </c>
      <c r="T149" s="21" t="str">
        <f t="shared" si="14"/>
        <v>Matched</v>
      </c>
      <c r="U149" s="2" t="str">
        <f>IF(COUNTIFS($B$2:B149,B149,$F$2:F149,F149,$H$2:H149,H149)&gt;1,"DUPLICATE","OK")</f>
        <v>OK</v>
      </c>
    </row>
    <row r="150" spans="1:21" x14ac:dyDescent="0.35">
      <c r="A150" s="21" t="s">
        <v>422</v>
      </c>
      <c r="B150" s="21" t="s">
        <v>54</v>
      </c>
      <c r="C150" s="21" t="s">
        <v>21</v>
      </c>
      <c r="D150" s="22">
        <v>45417</v>
      </c>
      <c r="E150" s="22" t="s">
        <v>692</v>
      </c>
      <c r="F150" s="21" t="s">
        <v>423</v>
      </c>
      <c r="G150" s="21" t="s">
        <v>424</v>
      </c>
      <c r="H150" s="21">
        <v>-45000</v>
      </c>
      <c r="I150" s="21" t="s">
        <v>57</v>
      </c>
      <c r="J150" s="21" t="s">
        <v>58</v>
      </c>
      <c r="K150" s="21" t="s">
        <v>411</v>
      </c>
      <c r="L150" s="21" t="s">
        <v>27</v>
      </c>
      <c r="M150" s="21" t="s">
        <v>45</v>
      </c>
      <c r="N150" s="21" t="s">
        <v>29</v>
      </c>
      <c r="O150" s="24">
        <v>45424</v>
      </c>
      <c r="P150" s="24">
        <v>45424</v>
      </c>
      <c r="Q150" s="21" t="s">
        <v>412</v>
      </c>
      <c r="R150" s="21">
        <f t="shared" si="12"/>
        <v>7</v>
      </c>
      <c r="S150" s="23" t="str">
        <f t="shared" si="13"/>
        <v>Yes</v>
      </c>
      <c r="T150" s="21" t="str">
        <f t="shared" si="14"/>
        <v>Matched</v>
      </c>
      <c r="U150" s="2" t="str">
        <f>IF(COUNTIFS($B$2:B150,B150,$F$2:F150,F150,$H$2:H150,H150)&gt;1,"DUPLICATE","OK")</f>
        <v>OK</v>
      </c>
    </row>
    <row r="151" spans="1:21" x14ac:dyDescent="0.35">
      <c r="A151" s="21" t="s">
        <v>437</v>
      </c>
      <c r="B151" s="21" t="s">
        <v>54</v>
      </c>
      <c r="C151" s="21" t="s">
        <v>33</v>
      </c>
      <c r="D151" s="22">
        <v>45422</v>
      </c>
      <c r="E151" s="22" t="s">
        <v>692</v>
      </c>
      <c r="F151" s="21" t="s">
        <v>438</v>
      </c>
      <c r="G151" s="21" t="s">
        <v>439</v>
      </c>
      <c r="H151" s="21">
        <v>132000</v>
      </c>
      <c r="I151" s="21" t="s">
        <v>57</v>
      </c>
      <c r="J151" s="21" t="s">
        <v>58</v>
      </c>
      <c r="K151" s="21" t="s">
        <v>26</v>
      </c>
      <c r="L151" s="21" t="s">
        <v>27</v>
      </c>
      <c r="M151" s="21" t="s">
        <v>28</v>
      </c>
      <c r="N151" s="21" t="s">
        <v>29</v>
      </c>
      <c r="O151" s="24">
        <v>45429</v>
      </c>
      <c r="P151" s="24">
        <v>45429</v>
      </c>
      <c r="Q151" s="21" t="s">
        <v>30</v>
      </c>
      <c r="R151" s="21">
        <f t="shared" si="12"/>
        <v>7</v>
      </c>
      <c r="S151" s="23" t="str">
        <f t="shared" si="13"/>
        <v>Yes</v>
      </c>
      <c r="T151" s="21" t="str">
        <f t="shared" si="14"/>
        <v>Matched</v>
      </c>
      <c r="U151" s="2" t="str">
        <f>IF(COUNTIFS($B$2:B151,B151,$F$2:F151,F151,$H$2:H151,H151)&gt;1,"DUPLICATE","OK")</f>
        <v>OK</v>
      </c>
    </row>
    <row r="152" spans="1:21" x14ac:dyDescent="0.35">
      <c r="A152" s="21" t="s">
        <v>452</v>
      </c>
      <c r="B152" s="21" t="s">
        <v>54</v>
      </c>
      <c r="C152" s="21" t="s">
        <v>40</v>
      </c>
      <c r="D152" s="22">
        <v>45427</v>
      </c>
      <c r="E152" s="22" t="s">
        <v>692</v>
      </c>
      <c r="F152" s="21" t="s">
        <v>453</v>
      </c>
      <c r="G152" s="21" t="s">
        <v>454</v>
      </c>
      <c r="H152" s="21">
        <v>173000</v>
      </c>
      <c r="I152" s="21" t="s">
        <v>57</v>
      </c>
      <c r="J152" s="21" t="s">
        <v>58</v>
      </c>
      <c r="K152" s="21" t="s">
        <v>26</v>
      </c>
      <c r="L152" s="21" t="s">
        <v>27</v>
      </c>
      <c r="M152" s="21" t="s">
        <v>28</v>
      </c>
      <c r="N152" s="21" t="s">
        <v>29</v>
      </c>
      <c r="O152" s="24">
        <v>45434</v>
      </c>
      <c r="P152" s="24">
        <v>45434</v>
      </c>
      <c r="Q152" s="21" t="s">
        <v>30</v>
      </c>
      <c r="R152" s="21">
        <f t="shared" si="12"/>
        <v>7</v>
      </c>
      <c r="S152" s="23" t="str">
        <f t="shared" si="13"/>
        <v>Yes</v>
      </c>
      <c r="T152" s="21" t="str">
        <f t="shared" si="14"/>
        <v>Matched</v>
      </c>
      <c r="U152" s="2" t="str">
        <f>IF(COUNTIFS($B$2:B152,B152,$F$2:F152,F152,$H$2:H152,H152)&gt;1,"DUPLICATE","OK")</f>
        <v>OK</v>
      </c>
    </row>
    <row r="153" spans="1:21" x14ac:dyDescent="0.35">
      <c r="A153" s="21" t="s">
        <v>467</v>
      </c>
      <c r="B153" s="21" t="s">
        <v>54</v>
      </c>
      <c r="C153" s="21" t="s">
        <v>48</v>
      </c>
      <c r="D153" s="22">
        <v>45432</v>
      </c>
      <c r="E153" s="22" t="s">
        <v>692</v>
      </c>
      <c r="F153" s="21" t="s">
        <v>468</v>
      </c>
      <c r="G153" s="21" t="s">
        <v>469</v>
      </c>
      <c r="H153" s="21">
        <v>148000</v>
      </c>
      <c r="I153" s="21" t="s">
        <v>57</v>
      </c>
      <c r="J153" s="21" t="s">
        <v>58</v>
      </c>
      <c r="K153" s="21" t="s">
        <v>26</v>
      </c>
      <c r="L153" s="21" t="s">
        <v>27</v>
      </c>
      <c r="M153" s="21" t="s">
        <v>28</v>
      </c>
      <c r="N153" s="21" t="s">
        <v>29</v>
      </c>
      <c r="O153" s="24">
        <v>45439</v>
      </c>
      <c r="P153" s="24">
        <v>45439</v>
      </c>
      <c r="Q153" s="21" t="s">
        <v>30</v>
      </c>
      <c r="R153" s="21">
        <f t="shared" si="12"/>
        <v>7</v>
      </c>
      <c r="S153" s="23" t="str">
        <f t="shared" si="13"/>
        <v>Yes</v>
      </c>
      <c r="T153" s="21" t="str">
        <f t="shared" si="14"/>
        <v>Matched</v>
      </c>
      <c r="U153" s="2" t="str">
        <f>IF(COUNTIFS($B$2:B153,B153,$F$2:F153,F153,$H$2:H153,H153)&gt;1,"DUPLICATE","OK")</f>
        <v>OK</v>
      </c>
    </row>
    <row r="154" spans="1:21" x14ac:dyDescent="0.35">
      <c r="A154" s="21" t="s">
        <v>482</v>
      </c>
      <c r="B154" s="21" t="s">
        <v>54</v>
      </c>
      <c r="C154" s="21" t="s">
        <v>21</v>
      </c>
      <c r="D154" s="22">
        <v>45437</v>
      </c>
      <c r="E154" s="22" t="s">
        <v>692</v>
      </c>
      <c r="F154" s="21" t="s">
        <v>483</v>
      </c>
      <c r="G154" s="21" t="s">
        <v>484</v>
      </c>
      <c r="H154" s="21">
        <v>196000</v>
      </c>
      <c r="I154" s="21" t="s">
        <v>57</v>
      </c>
      <c r="J154" s="21" t="s">
        <v>58</v>
      </c>
      <c r="K154" s="21" t="s">
        <v>26</v>
      </c>
      <c r="L154" s="21" t="s">
        <v>27</v>
      </c>
      <c r="M154" s="21" t="s">
        <v>45</v>
      </c>
      <c r="N154" s="21" t="s">
        <v>29</v>
      </c>
      <c r="O154" s="24">
        <v>45444</v>
      </c>
      <c r="P154" s="24">
        <v>45444</v>
      </c>
      <c r="Q154" s="21" t="s">
        <v>30</v>
      </c>
      <c r="R154" s="21">
        <f t="shared" si="12"/>
        <v>7</v>
      </c>
      <c r="S154" s="23" t="str">
        <f t="shared" si="13"/>
        <v>Yes</v>
      </c>
      <c r="T154" s="21" t="str">
        <f t="shared" si="14"/>
        <v>Matched</v>
      </c>
      <c r="U154" s="2" t="str">
        <f>IF(COUNTIFS($B$2:B154,B154,$F$2:F154,F154,$H$2:H154,H154)&gt;1,"DUPLICATE","OK")</f>
        <v>OK</v>
      </c>
    </row>
    <row r="155" spans="1:21" x14ac:dyDescent="0.35">
      <c r="A155" s="21" t="s">
        <v>497</v>
      </c>
      <c r="B155" s="21" t="s">
        <v>54</v>
      </c>
      <c r="C155" s="21" t="s">
        <v>33</v>
      </c>
      <c r="D155" s="22">
        <v>45442</v>
      </c>
      <c r="E155" s="22" t="s">
        <v>692</v>
      </c>
      <c r="F155" s="21" t="s">
        <v>498</v>
      </c>
      <c r="G155" s="21" t="s">
        <v>499</v>
      </c>
      <c r="H155" s="21">
        <v>139000</v>
      </c>
      <c r="I155" s="21" t="s">
        <v>57</v>
      </c>
      <c r="J155" s="21" t="s">
        <v>58</v>
      </c>
      <c r="K155" s="21" t="s">
        <v>26</v>
      </c>
      <c r="L155" s="21" t="s">
        <v>27</v>
      </c>
      <c r="M155" s="21" t="s">
        <v>28</v>
      </c>
      <c r="N155" s="21" t="s">
        <v>29</v>
      </c>
      <c r="O155" s="24">
        <v>45449</v>
      </c>
      <c r="P155" s="24">
        <v>45449</v>
      </c>
      <c r="Q155" s="21" t="s">
        <v>30</v>
      </c>
      <c r="R155" s="21">
        <f t="shared" si="12"/>
        <v>7</v>
      </c>
      <c r="S155" s="23" t="str">
        <f t="shared" si="13"/>
        <v>Yes</v>
      </c>
      <c r="T155" s="21" t="str">
        <f t="shared" si="14"/>
        <v>Matched</v>
      </c>
      <c r="U155" s="2" t="str">
        <f>IF(COUNTIFS($B$2:B155,B155,$F$2:F155,F155,$H$2:H155,H155)&gt;1,"DUPLICATE","OK")</f>
        <v>OK</v>
      </c>
    </row>
    <row r="156" spans="1:21" x14ac:dyDescent="0.35">
      <c r="A156" s="21" t="s">
        <v>419</v>
      </c>
      <c r="B156" s="21" t="s">
        <v>47</v>
      </c>
      <c r="C156" s="21" t="s">
        <v>48</v>
      </c>
      <c r="D156" s="22">
        <v>45416</v>
      </c>
      <c r="E156" s="22" t="s">
        <v>692</v>
      </c>
      <c r="F156" s="21" t="s">
        <v>420</v>
      </c>
      <c r="G156" s="21" t="s">
        <v>421</v>
      </c>
      <c r="H156" s="21">
        <v>-31000</v>
      </c>
      <c r="I156" s="21" t="s">
        <v>51</v>
      </c>
      <c r="J156" s="21" t="s">
        <v>52</v>
      </c>
      <c r="K156" s="21" t="s">
        <v>411</v>
      </c>
      <c r="L156" s="21" t="s">
        <v>27</v>
      </c>
      <c r="M156" s="21" t="s">
        <v>28</v>
      </c>
      <c r="N156" s="21" t="s">
        <v>29</v>
      </c>
      <c r="O156" s="24">
        <v>45423</v>
      </c>
      <c r="P156" s="24">
        <v>45423</v>
      </c>
      <c r="Q156" s="21" t="s">
        <v>412</v>
      </c>
      <c r="R156" s="21">
        <f t="shared" si="12"/>
        <v>7</v>
      </c>
      <c r="S156" s="23" t="str">
        <f t="shared" si="13"/>
        <v>Yes</v>
      </c>
      <c r="T156" s="21" t="str">
        <f t="shared" si="14"/>
        <v>Matched</v>
      </c>
      <c r="U156" s="2" t="str">
        <f>IF(COUNTIFS($B$2:B156,B156,$F$2:F156,F156,$H$2:H156,H156)&gt;1,"DUPLICATE","OK")</f>
        <v>OK</v>
      </c>
    </row>
    <row r="157" spans="1:21" x14ac:dyDescent="0.35">
      <c r="A157" s="21" t="s">
        <v>434</v>
      </c>
      <c r="B157" s="21" t="s">
        <v>47</v>
      </c>
      <c r="C157" s="21" t="s">
        <v>21</v>
      </c>
      <c r="D157" s="22">
        <v>45421</v>
      </c>
      <c r="E157" s="22" t="s">
        <v>692</v>
      </c>
      <c r="F157" s="21" t="s">
        <v>435</v>
      </c>
      <c r="G157" s="21" t="s">
        <v>436</v>
      </c>
      <c r="H157" s="21">
        <v>86000</v>
      </c>
      <c r="I157" s="21" t="s">
        <v>51</v>
      </c>
      <c r="J157" s="21" t="s">
        <v>52</v>
      </c>
      <c r="K157" s="21" t="s">
        <v>26</v>
      </c>
      <c r="L157" s="21" t="s">
        <v>27</v>
      </c>
      <c r="M157" s="21" t="s">
        <v>45</v>
      </c>
      <c r="N157" s="21" t="s">
        <v>29</v>
      </c>
      <c r="O157" s="24">
        <v>45428</v>
      </c>
      <c r="P157" s="24">
        <v>45427</v>
      </c>
      <c r="Q157" s="21" t="s">
        <v>30</v>
      </c>
      <c r="R157" s="21">
        <f t="shared" si="12"/>
        <v>6</v>
      </c>
      <c r="S157" s="23" t="str">
        <f t="shared" si="13"/>
        <v>Yes</v>
      </c>
      <c r="T157" s="21" t="str">
        <f t="shared" si="14"/>
        <v>Matched</v>
      </c>
      <c r="U157" s="2" t="str">
        <f>IF(COUNTIFS($B$2:B157,B157,$F$2:F157,F157,$H$2:H157,H157)&gt;1,"DUPLICATE","OK")</f>
        <v>OK</v>
      </c>
    </row>
    <row r="158" spans="1:21" x14ac:dyDescent="0.35">
      <c r="A158" s="21" t="s">
        <v>449</v>
      </c>
      <c r="B158" s="21" t="s">
        <v>47</v>
      </c>
      <c r="C158" s="21" t="s">
        <v>33</v>
      </c>
      <c r="D158" s="22">
        <v>45426</v>
      </c>
      <c r="E158" s="22" t="s">
        <v>692</v>
      </c>
      <c r="F158" s="21" t="s">
        <v>450</v>
      </c>
      <c r="G158" s="21" t="s">
        <v>451</v>
      </c>
      <c r="H158" s="21">
        <v>93000</v>
      </c>
      <c r="I158" s="21" t="s">
        <v>51</v>
      </c>
      <c r="J158" s="21" t="s">
        <v>52</v>
      </c>
      <c r="K158" s="21" t="s">
        <v>26</v>
      </c>
      <c r="L158" s="21" t="s">
        <v>27</v>
      </c>
      <c r="M158" s="21" t="s">
        <v>45</v>
      </c>
      <c r="N158" s="21" t="s">
        <v>29</v>
      </c>
      <c r="O158" s="24">
        <v>45433</v>
      </c>
      <c r="P158" s="24">
        <v>45432</v>
      </c>
      <c r="Q158" s="21" t="s">
        <v>30</v>
      </c>
      <c r="R158" s="21">
        <f t="shared" si="12"/>
        <v>6</v>
      </c>
      <c r="S158" s="23" t="str">
        <f t="shared" si="13"/>
        <v>Yes</v>
      </c>
      <c r="T158" s="21" t="str">
        <f t="shared" si="14"/>
        <v>Matched</v>
      </c>
      <c r="U158" s="2" t="str">
        <f>IF(COUNTIFS($B$2:B158,B158,$F$2:F158,F158,$H$2:H158,H158)&gt;1,"DUPLICATE","OK")</f>
        <v>OK</v>
      </c>
    </row>
    <row r="159" spans="1:21" x14ac:dyDescent="0.35">
      <c r="A159" s="21" t="s">
        <v>464</v>
      </c>
      <c r="B159" s="21" t="s">
        <v>47</v>
      </c>
      <c r="C159" s="21" t="s">
        <v>40</v>
      </c>
      <c r="D159" s="22">
        <v>45431</v>
      </c>
      <c r="E159" s="22" t="s">
        <v>692</v>
      </c>
      <c r="F159" s="21" t="s">
        <v>465</v>
      </c>
      <c r="G159" s="21" t="s">
        <v>466</v>
      </c>
      <c r="H159" s="21">
        <v>79000</v>
      </c>
      <c r="I159" s="21" t="s">
        <v>51</v>
      </c>
      <c r="J159" s="21" t="s">
        <v>52</v>
      </c>
      <c r="K159" s="21" t="s">
        <v>26</v>
      </c>
      <c r="L159" s="21" t="s">
        <v>27</v>
      </c>
      <c r="M159" s="21" t="s">
        <v>45</v>
      </c>
      <c r="N159" s="21" t="s">
        <v>29</v>
      </c>
      <c r="O159" s="24">
        <v>45438</v>
      </c>
      <c r="P159" s="24">
        <v>45437</v>
      </c>
      <c r="Q159" s="21" t="s">
        <v>30</v>
      </c>
      <c r="R159" s="21">
        <f t="shared" si="12"/>
        <v>6</v>
      </c>
      <c r="S159" s="23" t="str">
        <f t="shared" si="13"/>
        <v>Yes</v>
      </c>
      <c r="T159" s="21" t="str">
        <f t="shared" si="14"/>
        <v>Matched</v>
      </c>
      <c r="U159" s="2" t="str">
        <f>IF(COUNTIFS($B$2:B159,B159,$F$2:F159,F159,$H$2:H159,H159)&gt;1,"DUPLICATE","OK")</f>
        <v>OK</v>
      </c>
    </row>
    <row r="160" spans="1:21" x14ac:dyDescent="0.35">
      <c r="A160" s="21" t="s">
        <v>479</v>
      </c>
      <c r="B160" s="21" t="s">
        <v>47</v>
      </c>
      <c r="C160" s="21" t="s">
        <v>48</v>
      </c>
      <c r="D160" s="22">
        <v>45436</v>
      </c>
      <c r="E160" s="22" t="s">
        <v>692</v>
      </c>
      <c r="F160" s="21" t="s">
        <v>480</v>
      </c>
      <c r="G160" s="21" t="s">
        <v>481</v>
      </c>
      <c r="H160" s="21">
        <v>84000</v>
      </c>
      <c r="I160" s="21" t="s">
        <v>51</v>
      </c>
      <c r="J160" s="21" t="s">
        <v>52</v>
      </c>
      <c r="K160" s="21" t="s">
        <v>26</v>
      </c>
      <c r="L160" s="21" t="s">
        <v>27</v>
      </c>
      <c r="M160" s="21" t="s">
        <v>28</v>
      </c>
      <c r="N160" s="21" t="s">
        <v>29</v>
      </c>
      <c r="O160" s="24">
        <v>45443</v>
      </c>
      <c r="P160" s="24">
        <v>45443</v>
      </c>
      <c r="Q160" s="21" t="s">
        <v>30</v>
      </c>
      <c r="R160" s="21">
        <f t="shared" si="12"/>
        <v>7</v>
      </c>
      <c r="S160" s="23" t="str">
        <f t="shared" si="13"/>
        <v>Yes</v>
      </c>
      <c r="T160" s="21" t="str">
        <f t="shared" si="14"/>
        <v>Matched</v>
      </c>
      <c r="U160" s="2" t="str">
        <f>IF(COUNTIFS($B$2:B160,B160,$F$2:F160,F160,$H$2:H160,H160)&gt;1,"DUPLICATE","OK")</f>
        <v>OK</v>
      </c>
    </row>
    <row r="161" spans="1:21" x14ac:dyDescent="0.35">
      <c r="A161" s="21" t="s">
        <v>494</v>
      </c>
      <c r="B161" s="21" t="s">
        <v>47</v>
      </c>
      <c r="C161" s="21" t="s">
        <v>21</v>
      </c>
      <c r="D161" s="22">
        <v>45441</v>
      </c>
      <c r="E161" s="22" t="s">
        <v>692</v>
      </c>
      <c r="F161" s="21" t="s">
        <v>495</v>
      </c>
      <c r="G161" s="21" t="s">
        <v>496</v>
      </c>
      <c r="H161" s="21">
        <v>97000</v>
      </c>
      <c r="I161" s="21" t="s">
        <v>51</v>
      </c>
      <c r="J161" s="21" t="s">
        <v>52</v>
      </c>
      <c r="K161" s="21" t="s">
        <v>26</v>
      </c>
      <c r="L161" s="21" t="s">
        <v>27</v>
      </c>
      <c r="M161" s="21" t="s">
        <v>45</v>
      </c>
      <c r="N161" s="21" t="s">
        <v>29</v>
      </c>
      <c r="O161" s="24">
        <v>45448</v>
      </c>
      <c r="P161" s="24">
        <v>45447</v>
      </c>
      <c r="Q161" s="21" t="s">
        <v>30</v>
      </c>
      <c r="R161" s="21">
        <f t="shared" si="12"/>
        <v>6</v>
      </c>
      <c r="S161" s="23" t="str">
        <f t="shared" si="13"/>
        <v>Yes</v>
      </c>
      <c r="T161" s="21" t="str">
        <f t="shared" si="14"/>
        <v>Matched</v>
      </c>
      <c r="U161" s="2" t="str">
        <f>IF(COUNTIFS($B$2:B161,B161,$F$2:F161,F161,$H$2:H161,H161)&gt;1,"DUPLICATE","OK")</f>
        <v>OK</v>
      </c>
    </row>
    <row r="162" spans="1:21" x14ac:dyDescent="0.35">
      <c r="A162" s="21" t="s">
        <v>522</v>
      </c>
      <c r="B162" s="21" t="s">
        <v>39</v>
      </c>
      <c r="C162" s="21" t="s">
        <v>21</v>
      </c>
      <c r="D162" s="22">
        <v>45446</v>
      </c>
      <c r="E162" s="22" t="s">
        <v>693</v>
      </c>
      <c r="F162" s="21" t="s">
        <v>523</v>
      </c>
      <c r="G162" s="21" t="s">
        <v>524</v>
      </c>
      <c r="H162" s="21">
        <v>48000</v>
      </c>
      <c r="I162" s="21" t="s">
        <v>43</v>
      </c>
      <c r="J162" s="21" t="s">
        <v>44</v>
      </c>
      <c r="K162" s="21" t="s">
        <v>26</v>
      </c>
      <c r="L162" s="21" t="s">
        <v>27</v>
      </c>
      <c r="M162" s="21" t="s">
        <v>62</v>
      </c>
      <c r="N162" s="21" t="s">
        <v>29</v>
      </c>
      <c r="O162" s="24">
        <v>45453</v>
      </c>
      <c r="P162" s="24">
        <v>45453</v>
      </c>
      <c r="Q162" s="21" t="s">
        <v>30</v>
      </c>
      <c r="R162" s="21">
        <f t="shared" ref="R162:R193" si="15">IF(P162="-","-",P162-D162)</f>
        <v>7</v>
      </c>
      <c r="S162" s="23" t="str">
        <f t="shared" ref="S162:S193" si="16">IF(R162="-","-",IF(R162&lt;=7,"Yes","No"))</f>
        <v>Yes</v>
      </c>
      <c r="T162" s="21" t="str">
        <f t="shared" ref="T162:T193" si="17">IF(AND(F162&lt;&gt;"MISSING",G162&lt;&gt;"MISSING"),"Matched","Mismatched")</f>
        <v>Matched</v>
      </c>
      <c r="U162" s="2" t="str">
        <f>IF(COUNTIFS($B$2:B162,B162,$F$2:F162,F162,$H$2:H162,H162)&gt;1,"DUPLICATE","OK")</f>
        <v>OK</v>
      </c>
    </row>
    <row r="163" spans="1:21" x14ac:dyDescent="0.35">
      <c r="A163" s="21" t="s">
        <v>537</v>
      </c>
      <c r="B163" s="21" t="s">
        <v>39</v>
      </c>
      <c r="C163" s="21" t="s">
        <v>33</v>
      </c>
      <c r="D163" s="22">
        <v>45451</v>
      </c>
      <c r="E163" s="22" t="s">
        <v>693</v>
      </c>
      <c r="F163" s="21" t="s">
        <v>538</v>
      </c>
      <c r="G163" s="21" t="s">
        <v>539</v>
      </c>
      <c r="H163" s="21">
        <v>63000</v>
      </c>
      <c r="I163" s="21" t="s">
        <v>43</v>
      </c>
      <c r="J163" s="21" t="s">
        <v>44</v>
      </c>
      <c r="K163" s="21" t="s">
        <v>26</v>
      </c>
      <c r="L163" s="21" t="s">
        <v>27</v>
      </c>
      <c r="M163" s="21" t="s">
        <v>28</v>
      </c>
      <c r="N163" s="21" t="s">
        <v>29</v>
      </c>
      <c r="O163" s="24">
        <v>45458</v>
      </c>
      <c r="P163" s="24">
        <v>45458</v>
      </c>
      <c r="Q163" s="21" t="s">
        <v>30</v>
      </c>
      <c r="R163" s="21">
        <f t="shared" si="15"/>
        <v>7</v>
      </c>
      <c r="S163" s="23" t="str">
        <f t="shared" si="16"/>
        <v>Yes</v>
      </c>
      <c r="T163" s="21" t="str">
        <f t="shared" si="17"/>
        <v>Matched</v>
      </c>
      <c r="U163" s="2" t="str">
        <f>IF(COUNTIFS($B$2:B163,B163,$F$2:F163,F163,$H$2:H163,H163)&gt;1,"DUPLICATE","OK")</f>
        <v>OK</v>
      </c>
    </row>
    <row r="164" spans="1:21" x14ac:dyDescent="0.35">
      <c r="A164" s="21" t="s">
        <v>552</v>
      </c>
      <c r="B164" s="21" t="s">
        <v>39</v>
      </c>
      <c r="C164" s="21" t="s">
        <v>40</v>
      </c>
      <c r="D164" s="22">
        <v>45456</v>
      </c>
      <c r="E164" s="22" t="s">
        <v>693</v>
      </c>
      <c r="F164" s="21" t="s">
        <v>553</v>
      </c>
      <c r="G164" s="21" t="s">
        <v>554</v>
      </c>
      <c r="H164" s="21">
        <v>44000</v>
      </c>
      <c r="I164" s="21" t="s">
        <v>43</v>
      </c>
      <c r="J164" s="21" t="s">
        <v>44</v>
      </c>
      <c r="K164" s="21" t="s">
        <v>26</v>
      </c>
      <c r="L164" s="21" t="s">
        <v>27</v>
      </c>
      <c r="M164" s="21" t="s">
        <v>62</v>
      </c>
      <c r="N164" s="21" t="s">
        <v>29</v>
      </c>
      <c r="O164" s="24">
        <v>45463</v>
      </c>
      <c r="P164" s="24">
        <v>45463</v>
      </c>
      <c r="Q164" s="21" t="s">
        <v>30</v>
      </c>
      <c r="R164" s="21">
        <f t="shared" si="15"/>
        <v>7</v>
      </c>
      <c r="S164" s="23" t="str">
        <f t="shared" si="16"/>
        <v>Yes</v>
      </c>
      <c r="T164" s="21" t="str">
        <f t="shared" si="17"/>
        <v>Matched</v>
      </c>
      <c r="U164" s="2" t="str">
        <f>IF(COUNTIFS($B$2:B164,B164,$F$2:F164,F164,$H$2:H164,H164)&gt;1,"DUPLICATE","OK")</f>
        <v>OK</v>
      </c>
    </row>
    <row r="165" spans="1:21" x14ac:dyDescent="0.35">
      <c r="A165" s="21" t="s">
        <v>566</v>
      </c>
      <c r="B165" s="21" t="s">
        <v>39</v>
      </c>
      <c r="C165" s="21" t="s">
        <v>48</v>
      </c>
      <c r="D165" s="22">
        <v>45461</v>
      </c>
      <c r="E165" s="22" t="s">
        <v>693</v>
      </c>
      <c r="F165" s="21" t="s">
        <v>567</v>
      </c>
      <c r="G165" s="21" t="s">
        <v>233</v>
      </c>
      <c r="H165" s="21">
        <v>58000</v>
      </c>
      <c r="I165" s="21" t="s">
        <v>43</v>
      </c>
      <c r="J165" s="21" t="s">
        <v>44</v>
      </c>
      <c r="K165" s="21" t="s">
        <v>26</v>
      </c>
      <c r="L165" s="21" t="s">
        <v>27</v>
      </c>
      <c r="M165" s="21" t="s">
        <v>28</v>
      </c>
      <c r="N165" s="21" t="s">
        <v>114</v>
      </c>
      <c r="O165" s="24">
        <v>45468</v>
      </c>
      <c r="P165" s="21" t="s">
        <v>30</v>
      </c>
      <c r="Q165" s="21" t="s">
        <v>238</v>
      </c>
      <c r="R165" s="21" t="str">
        <f t="shared" si="15"/>
        <v>-</v>
      </c>
      <c r="S165" s="23" t="str">
        <f t="shared" si="16"/>
        <v>-</v>
      </c>
      <c r="T165" s="21" t="str">
        <f t="shared" si="17"/>
        <v>Mismatched</v>
      </c>
      <c r="U165" s="2" t="str">
        <f>IF(COUNTIFS($B$2:B165,B165,$F$2:F165,F165,$H$2:H165,H165)&gt;1,"DUPLICATE","OK")</f>
        <v>OK</v>
      </c>
    </row>
    <row r="166" spans="1:21" x14ac:dyDescent="0.35">
      <c r="A166" s="21" t="s">
        <v>580</v>
      </c>
      <c r="B166" s="21" t="s">
        <v>39</v>
      </c>
      <c r="C166" s="21" t="s">
        <v>21</v>
      </c>
      <c r="D166" s="22">
        <v>45466</v>
      </c>
      <c r="E166" s="22" t="s">
        <v>693</v>
      </c>
      <c r="F166" s="21" t="s">
        <v>581</v>
      </c>
      <c r="G166" s="21" t="s">
        <v>582</v>
      </c>
      <c r="H166" s="21">
        <v>53000</v>
      </c>
      <c r="I166" s="21" t="s">
        <v>43</v>
      </c>
      <c r="J166" s="21" t="s">
        <v>44</v>
      </c>
      <c r="K166" s="21" t="s">
        <v>26</v>
      </c>
      <c r="L166" s="21" t="s">
        <v>27</v>
      </c>
      <c r="M166" s="21" t="s">
        <v>62</v>
      </c>
      <c r="N166" s="21" t="s">
        <v>29</v>
      </c>
      <c r="O166" s="24">
        <v>45473</v>
      </c>
      <c r="P166" s="24">
        <v>45473</v>
      </c>
      <c r="Q166" s="21" t="s">
        <v>30</v>
      </c>
      <c r="R166" s="21">
        <f t="shared" si="15"/>
        <v>7</v>
      </c>
      <c r="S166" s="23" t="str">
        <f t="shared" si="16"/>
        <v>Yes</v>
      </c>
      <c r="T166" s="21" t="str">
        <f t="shared" si="17"/>
        <v>Matched</v>
      </c>
      <c r="U166" s="2" t="str">
        <f>IF(COUNTIFS($B$2:B166,B166,$F$2:F166,F166,$H$2:H166,H166)&gt;1,"DUPLICATE","OK")</f>
        <v>OK</v>
      </c>
    </row>
    <row r="167" spans="1:21" x14ac:dyDescent="0.35">
      <c r="A167" s="21" t="s">
        <v>595</v>
      </c>
      <c r="B167" s="21" t="s">
        <v>39</v>
      </c>
      <c r="C167" s="21" t="s">
        <v>33</v>
      </c>
      <c r="D167" s="22">
        <v>45471</v>
      </c>
      <c r="E167" s="22" t="s">
        <v>693</v>
      </c>
      <c r="F167" s="21" t="s">
        <v>596</v>
      </c>
      <c r="G167" s="21" t="s">
        <v>597</v>
      </c>
      <c r="H167" s="21">
        <v>61000</v>
      </c>
      <c r="I167" s="21" t="s">
        <v>43</v>
      </c>
      <c r="J167" s="21" t="s">
        <v>44</v>
      </c>
      <c r="K167" s="21" t="s">
        <v>26</v>
      </c>
      <c r="L167" s="21" t="s">
        <v>27</v>
      </c>
      <c r="M167" s="21" t="s">
        <v>28</v>
      </c>
      <c r="N167" s="21" t="s">
        <v>29</v>
      </c>
      <c r="O167" s="24">
        <v>45478</v>
      </c>
      <c r="P167" s="24">
        <v>45480</v>
      </c>
      <c r="Q167" s="21" t="s">
        <v>173</v>
      </c>
      <c r="R167" s="21">
        <f t="shared" si="15"/>
        <v>9</v>
      </c>
      <c r="S167" s="23" t="str">
        <f t="shared" si="16"/>
        <v>No</v>
      </c>
      <c r="T167" s="21" t="str">
        <f t="shared" si="17"/>
        <v>Matched</v>
      </c>
      <c r="U167" s="2" t="str">
        <f>IF(COUNTIFS($B$2:B167,B167,$F$2:F167,F167,$H$2:H167,H167)&gt;1,"DUPLICATE","OK")</f>
        <v>OK</v>
      </c>
    </row>
    <row r="168" spans="1:21" x14ac:dyDescent="0.35">
      <c r="A168" s="21" t="s">
        <v>564</v>
      </c>
      <c r="B168" s="21" t="s">
        <v>32</v>
      </c>
      <c r="C168" s="21" t="s">
        <v>40</v>
      </c>
      <c r="D168" s="22">
        <v>45460</v>
      </c>
      <c r="E168" s="22" t="s">
        <v>693</v>
      </c>
      <c r="F168" s="21" t="s">
        <v>233</v>
      </c>
      <c r="G168" s="21" t="s">
        <v>565</v>
      </c>
      <c r="H168" s="21">
        <v>95000</v>
      </c>
      <c r="I168" s="21" t="s">
        <v>36</v>
      </c>
      <c r="J168" s="21" t="s">
        <v>37</v>
      </c>
      <c r="K168" s="21" t="s">
        <v>26</v>
      </c>
      <c r="L168" s="21" t="s">
        <v>113</v>
      </c>
      <c r="M168" s="21" t="s">
        <v>28</v>
      </c>
      <c r="N168" s="21" t="s">
        <v>114</v>
      </c>
      <c r="O168" s="24">
        <v>45467</v>
      </c>
      <c r="P168" s="21" t="s">
        <v>30</v>
      </c>
      <c r="Q168" s="21" t="s">
        <v>235</v>
      </c>
      <c r="R168" s="21" t="str">
        <f t="shared" si="15"/>
        <v>-</v>
      </c>
      <c r="S168" s="23" t="str">
        <f t="shared" si="16"/>
        <v>-</v>
      </c>
      <c r="T168" s="21" t="str">
        <f t="shared" si="17"/>
        <v>Mismatched</v>
      </c>
      <c r="U168" s="2" t="str">
        <f>IF(COUNTIFS($B$2:B168,B168,$F$2:F168,F168,$H$2:H168,H168)&gt;1,"DUPLICATE","OK")</f>
        <v>OK</v>
      </c>
    </row>
    <row r="169" spans="1:21" x14ac:dyDescent="0.35">
      <c r="A169" s="21" t="s">
        <v>519</v>
      </c>
      <c r="B169" s="21" t="s">
        <v>32</v>
      </c>
      <c r="C169" s="21" t="s">
        <v>48</v>
      </c>
      <c r="D169" s="22">
        <v>45445</v>
      </c>
      <c r="E169" s="22" t="s">
        <v>693</v>
      </c>
      <c r="F169" s="21" t="s">
        <v>520</v>
      </c>
      <c r="G169" s="21" t="s">
        <v>521</v>
      </c>
      <c r="H169" s="21">
        <v>83000</v>
      </c>
      <c r="I169" s="21" t="s">
        <v>36</v>
      </c>
      <c r="J169" s="21" t="s">
        <v>37</v>
      </c>
      <c r="K169" s="21" t="s">
        <v>26</v>
      </c>
      <c r="L169" s="21" t="s">
        <v>27</v>
      </c>
      <c r="M169" s="21" t="s">
        <v>28</v>
      </c>
      <c r="N169" s="21" t="s">
        <v>29</v>
      </c>
      <c r="O169" s="24">
        <v>45452</v>
      </c>
      <c r="P169" s="24">
        <v>45452</v>
      </c>
      <c r="Q169" s="21" t="s">
        <v>30</v>
      </c>
      <c r="R169" s="21">
        <f t="shared" si="15"/>
        <v>7</v>
      </c>
      <c r="S169" s="23" t="str">
        <f t="shared" si="16"/>
        <v>Yes</v>
      </c>
      <c r="T169" s="21" t="str">
        <f t="shared" si="17"/>
        <v>Matched</v>
      </c>
      <c r="U169" s="2" t="str">
        <f>IF(COUNTIFS($B$2:B169,B169,$F$2:F169,F169,$H$2:H169,H169)&gt;1,"DUPLICATE","OK")</f>
        <v>OK</v>
      </c>
    </row>
    <row r="170" spans="1:21" x14ac:dyDescent="0.35">
      <c r="A170" s="21" t="s">
        <v>534</v>
      </c>
      <c r="B170" s="21" t="s">
        <v>32</v>
      </c>
      <c r="C170" s="21" t="s">
        <v>21</v>
      </c>
      <c r="D170" s="22">
        <v>45450</v>
      </c>
      <c r="E170" s="22" t="s">
        <v>693</v>
      </c>
      <c r="F170" s="21" t="s">
        <v>535</v>
      </c>
      <c r="G170" s="21" t="s">
        <v>536</v>
      </c>
      <c r="H170" s="21">
        <v>104000</v>
      </c>
      <c r="I170" s="21" t="s">
        <v>36</v>
      </c>
      <c r="J170" s="21" t="s">
        <v>37</v>
      </c>
      <c r="K170" s="21" t="s">
        <v>26</v>
      </c>
      <c r="L170" s="21" t="s">
        <v>27</v>
      </c>
      <c r="M170" s="21" t="s">
        <v>28</v>
      </c>
      <c r="N170" s="21" t="s">
        <v>29</v>
      </c>
      <c r="O170" s="24">
        <v>45457</v>
      </c>
      <c r="P170" s="24">
        <v>45457</v>
      </c>
      <c r="Q170" s="21" t="s">
        <v>30</v>
      </c>
      <c r="R170" s="21">
        <f t="shared" si="15"/>
        <v>7</v>
      </c>
      <c r="S170" s="23" t="str">
        <f t="shared" si="16"/>
        <v>Yes</v>
      </c>
      <c r="T170" s="21" t="str">
        <f t="shared" si="17"/>
        <v>Matched</v>
      </c>
      <c r="U170" s="2" t="str">
        <f>IF(COUNTIFS($B$2:B170,B170,$F$2:F170,F170,$H$2:H170,H170)&gt;1,"DUPLICATE","OK")</f>
        <v>OK</v>
      </c>
    </row>
    <row r="171" spans="1:21" x14ac:dyDescent="0.35">
      <c r="A171" s="21" t="s">
        <v>549</v>
      </c>
      <c r="B171" s="21" t="s">
        <v>32</v>
      </c>
      <c r="C171" s="21" t="s">
        <v>33</v>
      </c>
      <c r="D171" s="22">
        <v>45455</v>
      </c>
      <c r="E171" s="22" t="s">
        <v>693</v>
      </c>
      <c r="F171" s="21" t="s">
        <v>550</v>
      </c>
      <c r="G171" s="21" t="s">
        <v>551</v>
      </c>
      <c r="H171" s="21">
        <v>86000</v>
      </c>
      <c r="I171" s="21" t="s">
        <v>36</v>
      </c>
      <c r="J171" s="21" t="s">
        <v>37</v>
      </c>
      <c r="K171" s="21" t="s">
        <v>26</v>
      </c>
      <c r="L171" s="21" t="s">
        <v>27</v>
      </c>
      <c r="M171" s="21" t="s">
        <v>28</v>
      </c>
      <c r="N171" s="21" t="s">
        <v>29</v>
      </c>
      <c r="O171" s="24">
        <v>45462</v>
      </c>
      <c r="P171" s="24">
        <v>45462</v>
      </c>
      <c r="Q171" s="21" t="s">
        <v>30</v>
      </c>
      <c r="R171" s="21">
        <f t="shared" si="15"/>
        <v>7</v>
      </c>
      <c r="S171" s="23" t="str">
        <f t="shared" si="16"/>
        <v>Yes</v>
      </c>
      <c r="T171" s="21" t="str">
        <f t="shared" si="17"/>
        <v>Matched</v>
      </c>
      <c r="U171" s="2" t="str">
        <f>IF(COUNTIFS($B$2:B171,B171,$F$2:F171,F171,$H$2:H171,H171)&gt;1,"DUPLICATE","OK")</f>
        <v>OK</v>
      </c>
    </row>
    <row r="172" spans="1:21" x14ac:dyDescent="0.35">
      <c r="A172" s="21" t="s">
        <v>577</v>
      </c>
      <c r="B172" s="21" t="s">
        <v>32</v>
      </c>
      <c r="C172" s="21" t="s">
        <v>48</v>
      </c>
      <c r="D172" s="22">
        <v>45465</v>
      </c>
      <c r="E172" s="22" t="s">
        <v>693</v>
      </c>
      <c r="F172" s="21" t="s">
        <v>578</v>
      </c>
      <c r="G172" s="21" t="s">
        <v>579</v>
      </c>
      <c r="H172" s="21">
        <v>74000</v>
      </c>
      <c r="I172" s="21" t="s">
        <v>36</v>
      </c>
      <c r="J172" s="21" t="s">
        <v>37</v>
      </c>
      <c r="K172" s="21" t="s">
        <v>26</v>
      </c>
      <c r="L172" s="21" t="s">
        <v>27</v>
      </c>
      <c r="M172" s="21" t="s">
        <v>28</v>
      </c>
      <c r="N172" s="21" t="s">
        <v>29</v>
      </c>
      <c r="O172" s="24">
        <v>45472</v>
      </c>
      <c r="P172" s="24">
        <v>45472</v>
      </c>
      <c r="Q172" s="21" t="s">
        <v>30</v>
      </c>
      <c r="R172" s="21">
        <f t="shared" si="15"/>
        <v>7</v>
      </c>
      <c r="S172" s="23" t="str">
        <f t="shared" si="16"/>
        <v>Yes</v>
      </c>
      <c r="T172" s="21" t="str">
        <f t="shared" si="17"/>
        <v>Matched</v>
      </c>
      <c r="U172" s="2" t="str">
        <f>IF(COUNTIFS($B$2:B172,B172,$F$2:F172,F172,$H$2:H172,H172)&gt;1,"DUPLICATE","OK")</f>
        <v>OK</v>
      </c>
    </row>
    <row r="173" spans="1:21" x14ac:dyDescent="0.35">
      <c r="A173" s="21" t="s">
        <v>592</v>
      </c>
      <c r="B173" s="21" t="s">
        <v>32</v>
      </c>
      <c r="C173" s="21" t="s">
        <v>21</v>
      </c>
      <c r="D173" s="22">
        <v>45470</v>
      </c>
      <c r="E173" s="22" t="s">
        <v>693</v>
      </c>
      <c r="F173" s="21" t="s">
        <v>593</v>
      </c>
      <c r="G173" s="21" t="s">
        <v>594</v>
      </c>
      <c r="H173" s="21">
        <v>106000</v>
      </c>
      <c r="I173" s="21" t="s">
        <v>36</v>
      </c>
      <c r="J173" s="21" t="s">
        <v>37</v>
      </c>
      <c r="K173" s="21" t="s">
        <v>26</v>
      </c>
      <c r="L173" s="21" t="s">
        <v>27</v>
      </c>
      <c r="M173" s="21" t="s">
        <v>28</v>
      </c>
      <c r="N173" s="21" t="s">
        <v>29</v>
      </c>
      <c r="O173" s="24">
        <v>45477</v>
      </c>
      <c r="P173" s="24">
        <v>45477</v>
      </c>
      <c r="Q173" s="21" t="s">
        <v>30</v>
      </c>
      <c r="R173" s="21">
        <f t="shared" si="15"/>
        <v>7</v>
      </c>
      <c r="S173" s="23" t="str">
        <f t="shared" si="16"/>
        <v>Yes</v>
      </c>
      <c r="T173" s="21" t="str">
        <f t="shared" si="17"/>
        <v>Matched</v>
      </c>
      <c r="U173" s="2" t="str">
        <f>IF(COUNTIFS($B$2:B173,B173,$F$2:F173,F173,$H$2:H173,H173)&gt;1,"DUPLICATE","OK")</f>
        <v>OK</v>
      </c>
    </row>
    <row r="174" spans="1:21" x14ac:dyDescent="0.35">
      <c r="A174" s="21" t="s">
        <v>516</v>
      </c>
      <c r="B174" s="21" t="s">
        <v>20</v>
      </c>
      <c r="C174" s="21" t="s">
        <v>40</v>
      </c>
      <c r="D174" s="22">
        <v>45444</v>
      </c>
      <c r="E174" s="22" t="s">
        <v>693</v>
      </c>
      <c r="F174" s="21" t="s">
        <v>517</v>
      </c>
      <c r="G174" s="21" t="s">
        <v>518</v>
      </c>
      <c r="H174" s="21">
        <v>56000</v>
      </c>
      <c r="I174" s="21" t="s">
        <v>24</v>
      </c>
      <c r="J174" s="21" t="s">
        <v>25</v>
      </c>
      <c r="K174" s="21" t="s">
        <v>26</v>
      </c>
      <c r="L174" s="21" t="s">
        <v>27</v>
      </c>
      <c r="M174" s="21" t="s">
        <v>28</v>
      </c>
      <c r="N174" s="21" t="s">
        <v>29</v>
      </c>
      <c r="O174" s="24">
        <v>45451</v>
      </c>
      <c r="P174" s="24">
        <v>45451</v>
      </c>
      <c r="Q174" s="21" t="s">
        <v>30</v>
      </c>
      <c r="R174" s="21">
        <f t="shared" si="15"/>
        <v>7</v>
      </c>
      <c r="S174" s="23" t="str">
        <f t="shared" si="16"/>
        <v>Yes</v>
      </c>
      <c r="T174" s="21" t="str">
        <f t="shared" si="17"/>
        <v>Matched</v>
      </c>
      <c r="U174" s="2" t="str">
        <f>IF(COUNTIFS($B$2:B174,B174,$F$2:F174,F174,$H$2:H174,H174)&gt;1,"DUPLICATE","OK")</f>
        <v>OK</v>
      </c>
    </row>
    <row r="175" spans="1:21" x14ac:dyDescent="0.35">
      <c r="A175" s="21" t="s">
        <v>531</v>
      </c>
      <c r="B175" s="21" t="s">
        <v>20</v>
      </c>
      <c r="C175" s="21" t="s">
        <v>48</v>
      </c>
      <c r="D175" s="22">
        <v>45449</v>
      </c>
      <c r="E175" s="22" t="s">
        <v>693</v>
      </c>
      <c r="F175" s="21" t="s">
        <v>532</v>
      </c>
      <c r="G175" s="21" t="s">
        <v>533</v>
      </c>
      <c r="H175" s="21">
        <v>39000</v>
      </c>
      <c r="I175" s="21" t="s">
        <v>24</v>
      </c>
      <c r="J175" s="21" t="s">
        <v>25</v>
      </c>
      <c r="K175" s="21" t="s">
        <v>26</v>
      </c>
      <c r="L175" s="21" t="s">
        <v>27</v>
      </c>
      <c r="M175" s="21" t="s">
        <v>62</v>
      </c>
      <c r="N175" s="21" t="s">
        <v>108</v>
      </c>
      <c r="O175" s="24">
        <v>45456</v>
      </c>
      <c r="P175" s="21" t="s">
        <v>30</v>
      </c>
      <c r="Q175" s="21" t="s">
        <v>109</v>
      </c>
      <c r="R175" s="21" t="str">
        <f t="shared" si="15"/>
        <v>-</v>
      </c>
      <c r="S175" s="23" t="str">
        <f t="shared" si="16"/>
        <v>-</v>
      </c>
      <c r="T175" s="21" t="str">
        <f t="shared" si="17"/>
        <v>Matched</v>
      </c>
      <c r="U175" s="2" t="str">
        <f>IF(COUNTIFS($B$2:B175,B175,$F$2:F175,F175,$H$2:H175,H175)&gt;1,"DUPLICATE","OK")</f>
        <v>OK</v>
      </c>
    </row>
    <row r="176" spans="1:21" x14ac:dyDescent="0.35">
      <c r="A176" s="21" t="s">
        <v>546</v>
      </c>
      <c r="B176" s="21" t="s">
        <v>20</v>
      </c>
      <c r="C176" s="21" t="s">
        <v>21</v>
      </c>
      <c r="D176" s="22">
        <v>45454</v>
      </c>
      <c r="E176" s="22" t="s">
        <v>693</v>
      </c>
      <c r="F176" s="21" t="s">
        <v>547</v>
      </c>
      <c r="G176" s="21" t="s">
        <v>548</v>
      </c>
      <c r="H176" s="21">
        <v>57000</v>
      </c>
      <c r="I176" s="21" t="s">
        <v>24</v>
      </c>
      <c r="J176" s="21" t="s">
        <v>25</v>
      </c>
      <c r="K176" s="21" t="s">
        <v>26</v>
      </c>
      <c r="L176" s="21" t="s">
        <v>27</v>
      </c>
      <c r="M176" s="21" t="s">
        <v>28</v>
      </c>
      <c r="N176" s="21" t="s">
        <v>29</v>
      </c>
      <c r="O176" s="24">
        <v>45461</v>
      </c>
      <c r="P176" s="24">
        <v>45461</v>
      </c>
      <c r="Q176" s="21" t="s">
        <v>30</v>
      </c>
      <c r="R176" s="21">
        <f t="shared" si="15"/>
        <v>7</v>
      </c>
      <c r="S176" s="23" t="str">
        <f t="shared" si="16"/>
        <v>Yes</v>
      </c>
      <c r="T176" s="21" t="str">
        <f t="shared" si="17"/>
        <v>Matched</v>
      </c>
      <c r="U176" s="2" t="str">
        <f>IF(COUNTIFS($B$2:B176,B176,$F$2:F176,F176,$H$2:H176,H176)&gt;1,"DUPLICATE","OK")</f>
        <v>OK</v>
      </c>
    </row>
    <row r="177" spans="1:21" x14ac:dyDescent="0.35">
      <c r="A177" s="21" t="s">
        <v>561</v>
      </c>
      <c r="B177" s="21" t="s">
        <v>20</v>
      </c>
      <c r="C177" s="21" t="s">
        <v>33</v>
      </c>
      <c r="D177" s="22">
        <v>45459</v>
      </c>
      <c r="E177" s="22" t="s">
        <v>693</v>
      </c>
      <c r="F177" s="21" t="s">
        <v>562</v>
      </c>
      <c r="G177" s="21" t="s">
        <v>563</v>
      </c>
      <c r="H177" s="21">
        <v>32000</v>
      </c>
      <c r="I177" s="21" t="s">
        <v>24</v>
      </c>
      <c r="J177" s="21" t="s">
        <v>25</v>
      </c>
      <c r="K177" s="21" t="s">
        <v>26</v>
      </c>
      <c r="L177" s="21" t="s">
        <v>27</v>
      </c>
      <c r="M177" s="21" t="s">
        <v>62</v>
      </c>
      <c r="N177" s="21" t="s">
        <v>29</v>
      </c>
      <c r="O177" s="24">
        <v>45466</v>
      </c>
      <c r="P177" s="24">
        <v>45466</v>
      </c>
      <c r="Q177" s="21" t="s">
        <v>30</v>
      </c>
      <c r="R177" s="21">
        <f t="shared" si="15"/>
        <v>7</v>
      </c>
      <c r="S177" s="23" t="str">
        <f t="shared" si="16"/>
        <v>Yes</v>
      </c>
      <c r="T177" s="21" t="str">
        <f t="shared" si="17"/>
        <v>Matched</v>
      </c>
      <c r="U177" s="2" t="str">
        <f>IF(COUNTIFS($B$2:B177,B177,$F$2:F177,F177,$H$2:H177,H177)&gt;1,"DUPLICATE","OK")</f>
        <v>OK</v>
      </c>
    </row>
    <row r="178" spans="1:21" x14ac:dyDescent="0.35">
      <c r="A178" s="21" t="s">
        <v>574</v>
      </c>
      <c r="B178" s="21" t="s">
        <v>20</v>
      </c>
      <c r="C178" s="21" t="s">
        <v>40</v>
      </c>
      <c r="D178" s="22">
        <v>45464</v>
      </c>
      <c r="E178" s="22" t="s">
        <v>693</v>
      </c>
      <c r="F178" s="21" t="s">
        <v>575</v>
      </c>
      <c r="G178" s="21" t="s">
        <v>576</v>
      </c>
      <c r="H178" s="21">
        <v>49000</v>
      </c>
      <c r="I178" s="21" t="s">
        <v>24</v>
      </c>
      <c r="J178" s="21" t="s">
        <v>25</v>
      </c>
      <c r="K178" s="21" t="s">
        <v>26</v>
      </c>
      <c r="L178" s="21" t="s">
        <v>27</v>
      </c>
      <c r="M178" s="21" t="s">
        <v>28</v>
      </c>
      <c r="N178" s="21" t="s">
        <v>29</v>
      </c>
      <c r="O178" s="24">
        <v>45471</v>
      </c>
      <c r="P178" s="24">
        <v>45471</v>
      </c>
      <c r="Q178" s="21" t="s">
        <v>30</v>
      </c>
      <c r="R178" s="21">
        <f t="shared" si="15"/>
        <v>7</v>
      </c>
      <c r="S178" s="23" t="str">
        <f t="shared" si="16"/>
        <v>Yes</v>
      </c>
      <c r="T178" s="21" t="str">
        <f t="shared" si="17"/>
        <v>Matched</v>
      </c>
      <c r="U178" s="2" t="str">
        <f>IF(COUNTIFS($B$2:B178,B178,$F$2:F178,F178,$H$2:H178,H178)&gt;1,"DUPLICATE","OK")</f>
        <v>OK</v>
      </c>
    </row>
    <row r="179" spans="1:21" x14ac:dyDescent="0.35">
      <c r="A179" s="21" t="s">
        <v>589</v>
      </c>
      <c r="B179" s="21" t="s">
        <v>20</v>
      </c>
      <c r="C179" s="21" t="s">
        <v>48</v>
      </c>
      <c r="D179" s="22">
        <v>45469</v>
      </c>
      <c r="E179" s="22" t="s">
        <v>693</v>
      </c>
      <c r="F179" s="21" t="s">
        <v>590</v>
      </c>
      <c r="G179" s="21" t="s">
        <v>591</v>
      </c>
      <c r="H179" s="21">
        <v>-19000</v>
      </c>
      <c r="I179" s="21" t="s">
        <v>24</v>
      </c>
      <c r="J179" s="21" t="s">
        <v>25</v>
      </c>
      <c r="K179" s="21" t="s">
        <v>411</v>
      </c>
      <c r="L179" s="21" t="s">
        <v>27</v>
      </c>
      <c r="M179" s="21" t="s">
        <v>28</v>
      </c>
      <c r="N179" s="21" t="s">
        <v>29</v>
      </c>
      <c r="O179" s="24">
        <v>45476</v>
      </c>
      <c r="P179" s="24">
        <v>45476</v>
      </c>
      <c r="Q179" s="21" t="s">
        <v>412</v>
      </c>
      <c r="R179" s="21">
        <f t="shared" si="15"/>
        <v>7</v>
      </c>
      <c r="S179" s="23" t="str">
        <f t="shared" si="16"/>
        <v>Yes</v>
      </c>
      <c r="T179" s="21" t="str">
        <f t="shared" si="17"/>
        <v>Matched</v>
      </c>
      <c r="U179" s="2" t="str">
        <f>IF(COUNTIFS($B$2:B179,B179,$F$2:F179,F179,$H$2:H179,H179)&gt;1,"DUPLICATE","OK")</f>
        <v>OK</v>
      </c>
    </row>
    <row r="180" spans="1:21" x14ac:dyDescent="0.35">
      <c r="A180" s="21" t="s">
        <v>528</v>
      </c>
      <c r="B180" s="21" t="s">
        <v>54</v>
      </c>
      <c r="C180" s="21" t="s">
        <v>40</v>
      </c>
      <c r="D180" s="22">
        <v>45448</v>
      </c>
      <c r="E180" s="22" t="s">
        <v>693</v>
      </c>
      <c r="F180" s="21" t="s">
        <v>529</v>
      </c>
      <c r="G180" s="21" t="s">
        <v>530</v>
      </c>
      <c r="H180" s="21">
        <v>152000</v>
      </c>
      <c r="I180" s="21" t="s">
        <v>57</v>
      </c>
      <c r="J180" s="21" t="s">
        <v>58</v>
      </c>
      <c r="K180" s="21" t="s">
        <v>26</v>
      </c>
      <c r="L180" s="21" t="s">
        <v>27</v>
      </c>
      <c r="M180" s="21" t="s">
        <v>28</v>
      </c>
      <c r="N180" s="21" t="s">
        <v>29</v>
      </c>
      <c r="O180" s="24">
        <v>45455</v>
      </c>
      <c r="P180" s="24">
        <v>45455</v>
      </c>
      <c r="Q180" s="21" t="s">
        <v>30</v>
      </c>
      <c r="R180" s="21">
        <f t="shared" si="15"/>
        <v>7</v>
      </c>
      <c r="S180" s="23" t="str">
        <f t="shared" si="16"/>
        <v>Yes</v>
      </c>
      <c r="T180" s="21" t="str">
        <f t="shared" si="17"/>
        <v>Matched</v>
      </c>
      <c r="U180" s="2" t="str">
        <f>IF(COUNTIFS($B$2:B180,B180,$F$2:F180,F180,$H$2:H180,H180)&gt;1,"DUPLICATE","OK")</f>
        <v>OK</v>
      </c>
    </row>
    <row r="181" spans="1:21" x14ac:dyDescent="0.35">
      <c r="A181" s="21" t="s">
        <v>543</v>
      </c>
      <c r="B181" s="21" t="s">
        <v>54</v>
      </c>
      <c r="C181" s="21" t="s">
        <v>48</v>
      </c>
      <c r="D181" s="22">
        <v>45453</v>
      </c>
      <c r="E181" s="22" t="s">
        <v>693</v>
      </c>
      <c r="F181" s="21" t="s">
        <v>544</v>
      </c>
      <c r="G181" s="21" t="s">
        <v>545</v>
      </c>
      <c r="H181" s="21">
        <v>144000</v>
      </c>
      <c r="I181" s="21" t="s">
        <v>57</v>
      </c>
      <c r="J181" s="21" t="s">
        <v>58</v>
      </c>
      <c r="K181" s="21" t="s">
        <v>26</v>
      </c>
      <c r="L181" s="21" t="s">
        <v>27</v>
      </c>
      <c r="M181" s="21" t="s">
        <v>28</v>
      </c>
      <c r="N181" s="21" t="s">
        <v>29</v>
      </c>
      <c r="O181" s="24">
        <v>45460</v>
      </c>
      <c r="P181" s="24">
        <v>45460</v>
      </c>
      <c r="Q181" s="21" t="s">
        <v>30</v>
      </c>
      <c r="R181" s="21">
        <f t="shared" si="15"/>
        <v>7</v>
      </c>
      <c r="S181" s="23" t="str">
        <f t="shared" si="16"/>
        <v>Yes</v>
      </c>
      <c r="T181" s="21" t="str">
        <f t="shared" si="17"/>
        <v>Matched</v>
      </c>
      <c r="U181" s="2" t="str">
        <f>IF(COUNTIFS($B$2:B181,B181,$F$2:F181,F181,$H$2:H181,H181)&gt;1,"DUPLICATE","OK")</f>
        <v>OK</v>
      </c>
    </row>
    <row r="182" spans="1:21" x14ac:dyDescent="0.35">
      <c r="A182" s="21" t="s">
        <v>558</v>
      </c>
      <c r="B182" s="21" t="s">
        <v>54</v>
      </c>
      <c r="C182" s="21" t="s">
        <v>21</v>
      </c>
      <c r="D182" s="22">
        <v>45458</v>
      </c>
      <c r="E182" s="22" t="s">
        <v>693</v>
      </c>
      <c r="F182" s="21" t="s">
        <v>559</v>
      </c>
      <c r="G182" s="21" t="s">
        <v>560</v>
      </c>
      <c r="H182" s="21">
        <v>178000</v>
      </c>
      <c r="I182" s="21" t="s">
        <v>57</v>
      </c>
      <c r="J182" s="21" t="s">
        <v>58</v>
      </c>
      <c r="K182" s="21" t="s">
        <v>26</v>
      </c>
      <c r="L182" s="21" t="s">
        <v>27</v>
      </c>
      <c r="M182" s="21" t="s">
        <v>45</v>
      </c>
      <c r="N182" s="21" t="s">
        <v>29</v>
      </c>
      <c r="O182" s="24">
        <v>45465</v>
      </c>
      <c r="P182" s="24">
        <v>45465</v>
      </c>
      <c r="Q182" s="21" t="s">
        <v>30</v>
      </c>
      <c r="R182" s="21">
        <f t="shared" si="15"/>
        <v>7</v>
      </c>
      <c r="S182" s="23" t="str">
        <f t="shared" si="16"/>
        <v>Yes</v>
      </c>
      <c r="T182" s="21" t="str">
        <f t="shared" si="17"/>
        <v>Matched</v>
      </c>
      <c r="U182" s="2" t="str">
        <f>IF(COUNTIFS($B$2:B182,B182,$F$2:F182,F182,$H$2:H182,H182)&gt;1,"DUPLICATE","OK")</f>
        <v>OK</v>
      </c>
    </row>
    <row r="183" spans="1:21" x14ac:dyDescent="0.35">
      <c r="A183" s="21" t="s">
        <v>571</v>
      </c>
      <c r="B183" s="21" t="s">
        <v>54</v>
      </c>
      <c r="C183" s="21" t="s">
        <v>33</v>
      </c>
      <c r="D183" s="22">
        <v>45463</v>
      </c>
      <c r="E183" s="22" t="s">
        <v>693</v>
      </c>
      <c r="F183" s="21" t="s">
        <v>572</v>
      </c>
      <c r="G183" s="21" t="s">
        <v>573</v>
      </c>
      <c r="H183" s="21">
        <v>131000</v>
      </c>
      <c r="I183" s="21" t="s">
        <v>57</v>
      </c>
      <c r="J183" s="21" t="s">
        <v>58</v>
      </c>
      <c r="K183" s="21" t="s">
        <v>26</v>
      </c>
      <c r="L183" s="21" t="s">
        <v>27</v>
      </c>
      <c r="M183" s="21" t="s">
        <v>28</v>
      </c>
      <c r="N183" s="21" t="s">
        <v>29</v>
      </c>
      <c r="O183" s="24">
        <v>45470</v>
      </c>
      <c r="P183" s="24">
        <v>45470</v>
      </c>
      <c r="Q183" s="21" t="s">
        <v>30</v>
      </c>
      <c r="R183" s="21">
        <f t="shared" si="15"/>
        <v>7</v>
      </c>
      <c r="S183" s="23" t="str">
        <f t="shared" si="16"/>
        <v>Yes</v>
      </c>
      <c r="T183" s="21" t="str">
        <f t="shared" si="17"/>
        <v>Matched</v>
      </c>
      <c r="U183" s="2" t="str">
        <f>IF(COUNTIFS($B$2:B183,B183,$F$2:F183,F183,$H$2:H183,H183)&gt;1,"DUPLICATE","OK")</f>
        <v>OK</v>
      </c>
    </row>
    <row r="184" spans="1:21" x14ac:dyDescent="0.35">
      <c r="A184" s="21" t="s">
        <v>586</v>
      </c>
      <c r="B184" s="21" t="s">
        <v>54</v>
      </c>
      <c r="C184" s="21" t="s">
        <v>40</v>
      </c>
      <c r="D184" s="22">
        <v>45468</v>
      </c>
      <c r="E184" s="22" t="s">
        <v>693</v>
      </c>
      <c r="F184" s="21" t="s">
        <v>587</v>
      </c>
      <c r="G184" s="21" t="s">
        <v>588</v>
      </c>
      <c r="H184" s="21">
        <v>157000</v>
      </c>
      <c r="I184" s="21" t="s">
        <v>57</v>
      </c>
      <c r="J184" s="21" t="s">
        <v>58</v>
      </c>
      <c r="K184" s="21" t="s">
        <v>26</v>
      </c>
      <c r="L184" s="21" t="s">
        <v>27</v>
      </c>
      <c r="M184" s="21" t="s">
        <v>28</v>
      </c>
      <c r="N184" s="21" t="s">
        <v>29</v>
      </c>
      <c r="O184" s="24">
        <v>45475</v>
      </c>
      <c r="P184" s="24">
        <v>45475</v>
      </c>
      <c r="Q184" s="21" t="s">
        <v>30</v>
      </c>
      <c r="R184" s="21">
        <f t="shared" si="15"/>
        <v>7</v>
      </c>
      <c r="S184" s="23" t="str">
        <f t="shared" si="16"/>
        <v>Yes</v>
      </c>
      <c r="T184" s="21" t="str">
        <f t="shared" si="17"/>
        <v>Matched</v>
      </c>
      <c r="U184" s="2" t="str">
        <f>IF(COUNTIFS($B$2:B184,B184,$F$2:F184,F184,$H$2:H184,H184)&gt;1,"DUPLICATE","OK")</f>
        <v>OK</v>
      </c>
    </row>
    <row r="185" spans="1:21" x14ac:dyDescent="0.35">
      <c r="A185" s="21" t="s">
        <v>601</v>
      </c>
      <c r="B185" s="21" t="s">
        <v>54</v>
      </c>
      <c r="C185" s="21" t="s">
        <v>48</v>
      </c>
      <c r="D185" s="22">
        <v>45473</v>
      </c>
      <c r="E185" s="22" t="s">
        <v>693</v>
      </c>
      <c r="F185" s="21" t="s">
        <v>602</v>
      </c>
      <c r="G185" s="21" t="s">
        <v>603</v>
      </c>
      <c r="H185" s="21">
        <v>142000</v>
      </c>
      <c r="I185" s="21" t="s">
        <v>57</v>
      </c>
      <c r="J185" s="21" t="s">
        <v>58</v>
      </c>
      <c r="K185" s="21" t="s">
        <v>26</v>
      </c>
      <c r="L185" s="21" t="s">
        <v>27</v>
      </c>
      <c r="M185" s="21" t="s">
        <v>28</v>
      </c>
      <c r="N185" s="21" t="s">
        <v>29</v>
      </c>
      <c r="O185" s="24">
        <v>45480</v>
      </c>
      <c r="P185" s="24">
        <v>45480</v>
      </c>
      <c r="Q185" s="21" t="s">
        <v>30</v>
      </c>
      <c r="R185" s="21">
        <f t="shared" si="15"/>
        <v>7</v>
      </c>
      <c r="S185" s="23" t="str">
        <f t="shared" si="16"/>
        <v>Yes</v>
      </c>
      <c r="T185" s="21" t="str">
        <f t="shared" si="17"/>
        <v>Matched</v>
      </c>
      <c r="U185" s="2" t="str">
        <f>IF(COUNTIFS($B$2:B185,B185,$F$2:F185,F185,$H$2:H185,H185)&gt;1,"DUPLICATE","OK")</f>
        <v>OK</v>
      </c>
    </row>
    <row r="186" spans="1:21" x14ac:dyDescent="0.35">
      <c r="A186" s="21" t="s">
        <v>525</v>
      </c>
      <c r="B186" s="21" t="s">
        <v>47</v>
      </c>
      <c r="C186" s="21" t="s">
        <v>33</v>
      </c>
      <c r="D186" s="22">
        <v>45447</v>
      </c>
      <c r="E186" s="22" t="s">
        <v>693</v>
      </c>
      <c r="F186" s="21" t="s">
        <v>526</v>
      </c>
      <c r="G186" s="21" t="s">
        <v>527</v>
      </c>
      <c r="H186" s="21">
        <v>77000</v>
      </c>
      <c r="I186" s="21" t="s">
        <v>51</v>
      </c>
      <c r="J186" s="21" t="s">
        <v>52</v>
      </c>
      <c r="K186" s="21" t="s">
        <v>26</v>
      </c>
      <c r="L186" s="21" t="s">
        <v>27</v>
      </c>
      <c r="M186" s="21" t="s">
        <v>45</v>
      </c>
      <c r="N186" s="21" t="s">
        <v>29</v>
      </c>
      <c r="O186" s="24">
        <v>45454</v>
      </c>
      <c r="P186" s="24">
        <v>45453</v>
      </c>
      <c r="Q186" s="21" t="s">
        <v>30</v>
      </c>
      <c r="R186" s="21">
        <f t="shared" si="15"/>
        <v>6</v>
      </c>
      <c r="S186" s="23" t="str">
        <f t="shared" si="16"/>
        <v>Yes</v>
      </c>
      <c r="T186" s="21" t="str">
        <f t="shared" si="17"/>
        <v>Matched</v>
      </c>
      <c r="U186" s="2" t="str">
        <f>IF(COUNTIFS($B$2:B186,B186,$F$2:F186,F186,$H$2:H186,H186)&gt;1,"DUPLICATE","OK")</f>
        <v>OK</v>
      </c>
    </row>
    <row r="187" spans="1:21" x14ac:dyDescent="0.35">
      <c r="A187" s="21" t="s">
        <v>540</v>
      </c>
      <c r="B187" s="21" t="s">
        <v>47</v>
      </c>
      <c r="C187" s="21" t="s">
        <v>40</v>
      </c>
      <c r="D187" s="22">
        <v>45452</v>
      </c>
      <c r="E187" s="22" t="s">
        <v>693</v>
      </c>
      <c r="F187" s="21" t="s">
        <v>541</v>
      </c>
      <c r="G187" s="21" t="s">
        <v>542</v>
      </c>
      <c r="H187" s="21">
        <v>91000</v>
      </c>
      <c r="I187" s="21" t="s">
        <v>51</v>
      </c>
      <c r="J187" s="21" t="s">
        <v>52</v>
      </c>
      <c r="K187" s="21" t="s">
        <v>26</v>
      </c>
      <c r="L187" s="21" t="s">
        <v>27</v>
      </c>
      <c r="M187" s="21" t="s">
        <v>45</v>
      </c>
      <c r="N187" s="21" t="s">
        <v>29</v>
      </c>
      <c r="O187" s="24">
        <v>45459</v>
      </c>
      <c r="P187" s="24">
        <v>45458</v>
      </c>
      <c r="Q187" s="21" t="s">
        <v>30</v>
      </c>
      <c r="R187" s="21">
        <f t="shared" si="15"/>
        <v>6</v>
      </c>
      <c r="S187" s="23" t="str">
        <f t="shared" si="16"/>
        <v>Yes</v>
      </c>
      <c r="T187" s="21" t="str">
        <f t="shared" si="17"/>
        <v>Matched</v>
      </c>
      <c r="U187" s="2" t="str">
        <f>IF(COUNTIFS($B$2:B187,B187,$F$2:F187,F187,$H$2:H187,H187)&gt;1,"DUPLICATE","OK")</f>
        <v>OK</v>
      </c>
    </row>
    <row r="188" spans="1:21" x14ac:dyDescent="0.35">
      <c r="A188" s="21" t="s">
        <v>555</v>
      </c>
      <c r="B188" s="21" t="s">
        <v>47</v>
      </c>
      <c r="C188" s="21" t="s">
        <v>48</v>
      </c>
      <c r="D188" s="22">
        <v>45457</v>
      </c>
      <c r="E188" s="22" t="s">
        <v>693</v>
      </c>
      <c r="F188" s="21" t="s">
        <v>556</v>
      </c>
      <c r="G188" s="21" t="s">
        <v>557</v>
      </c>
      <c r="H188" s="21">
        <v>69000</v>
      </c>
      <c r="I188" s="21" t="s">
        <v>51</v>
      </c>
      <c r="J188" s="21" t="s">
        <v>52</v>
      </c>
      <c r="K188" s="21" t="s">
        <v>26</v>
      </c>
      <c r="L188" s="21" t="s">
        <v>27</v>
      </c>
      <c r="M188" s="21" t="s">
        <v>28</v>
      </c>
      <c r="N188" s="21" t="s">
        <v>29</v>
      </c>
      <c r="O188" s="24">
        <v>45464</v>
      </c>
      <c r="P188" s="24">
        <v>45464</v>
      </c>
      <c r="Q188" s="21" t="s">
        <v>30</v>
      </c>
      <c r="R188" s="21">
        <f t="shared" si="15"/>
        <v>7</v>
      </c>
      <c r="S188" s="23" t="str">
        <f t="shared" si="16"/>
        <v>Yes</v>
      </c>
      <c r="T188" s="21" t="str">
        <f t="shared" si="17"/>
        <v>Matched</v>
      </c>
      <c r="U188" s="2" t="str">
        <f>IF(COUNTIFS($B$2:B188,B188,$F$2:F188,F188,$H$2:H188,H188)&gt;1,"DUPLICATE","OK")</f>
        <v>OK</v>
      </c>
    </row>
    <row r="189" spans="1:21" x14ac:dyDescent="0.35">
      <c r="A189" s="21" t="s">
        <v>568</v>
      </c>
      <c r="B189" s="21" t="s">
        <v>47</v>
      </c>
      <c r="C189" s="21" t="s">
        <v>21</v>
      </c>
      <c r="D189" s="22">
        <v>45462</v>
      </c>
      <c r="E189" s="22" t="s">
        <v>693</v>
      </c>
      <c r="F189" s="21" t="s">
        <v>569</v>
      </c>
      <c r="G189" s="21" t="s">
        <v>570</v>
      </c>
      <c r="H189" s="21">
        <v>82000</v>
      </c>
      <c r="I189" s="21" t="s">
        <v>51</v>
      </c>
      <c r="J189" s="21" t="s">
        <v>52</v>
      </c>
      <c r="K189" s="21" t="s">
        <v>26</v>
      </c>
      <c r="L189" s="21" t="s">
        <v>27</v>
      </c>
      <c r="M189" s="21" t="s">
        <v>45</v>
      </c>
      <c r="N189" s="21" t="s">
        <v>29</v>
      </c>
      <c r="O189" s="24">
        <v>45469</v>
      </c>
      <c r="P189" s="24">
        <v>45468</v>
      </c>
      <c r="Q189" s="21" t="s">
        <v>30</v>
      </c>
      <c r="R189" s="21">
        <f t="shared" si="15"/>
        <v>6</v>
      </c>
      <c r="S189" s="23" t="str">
        <f t="shared" si="16"/>
        <v>Yes</v>
      </c>
      <c r="T189" s="21" t="str">
        <f t="shared" si="17"/>
        <v>Matched</v>
      </c>
      <c r="U189" s="2" t="str">
        <f>IF(COUNTIFS($B$2:B189,B189,$F$2:F189,F189,$H$2:H189,H189)&gt;1,"DUPLICATE","OK")</f>
        <v>OK</v>
      </c>
    </row>
    <row r="190" spans="1:21" x14ac:dyDescent="0.35">
      <c r="A190" s="21" t="s">
        <v>583</v>
      </c>
      <c r="B190" s="21" t="s">
        <v>47</v>
      </c>
      <c r="C190" s="21" t="s">
        <v>33</v>
      </c>
      <c r="D190" s="22">
        <v>45467</v>
      </c>
      <c r="E190" s="22" t="s">
        <v>693</v>
      </c>
      <c r="F190" s="21" t="s">
        <v>584</v>
      </c>
      <c r="G190" s="21" t="s">
        <v>585</v>
      </c>
      <c r="H190" s="21">
        <v>88000</v>
      </c>
      <c r="I190" s="21" t="s">
        <v>51</v>
      </c>
      <c r="J190" s="21" t="s">
        <v>52</v>
      </c>
      <c r="K190" s="21" t="s">
        <v>26</v>
      </c>
      <c r="L190" s="21" t="s">
        <v>27</v>
      </c>
      <c r="M190" s="21" t="s">
        <v>45</v>
      </c>
      <c r="N190" s="21" t="s">
        <v>29</v>
      </c>
      <c r="O190" s="24">
        <v>45474</v>
      </c>
      <c r="P190" s="24">
        <v>45473</v>
      </c>
      <c r="Q190" s="21" t="s">
        <v>30</v>
      </c>
      <c r="R190" s="21">
        <f t="shared" si="15"/>
        <v>6</v>
      </c>
      <c r="S190" s="23" t="str">
        <f t="shared" si="16"/>
        <v>Yes</v>
      </c>
      <c r="T190" s="21" t="str">
        <f t="shared" si="17"/>
        <v>Matched</v>
      </c>
      <c r="U190" s="2" t="str">
        <f>IF(COUNTIFS($B$2:B190,B190,$F$2:F190,F190,$H$2:H190,H190)&gt;1,"DUPLICATE","OK")</f>
        <v>OK</v>
      </c>
    </row>
    <row r="191" spans="1:21" x14ac:dyDescent="0.35">
      <c r="A191" s="21" t="s">
        <v>598</v>
      </c>
      <c r="B191" s="21" t="s">
        <v>47</v>
      </c>
      <c r="C191" s="21" t="s">
        <v>40</v>
      </c>
      <c r="D191" s="22">
        <v>45472</v>
      </c>
      <c r="E191" s="22" t="s">
        <v>693</v>
      </c>
      <c r="F191" s="21" t="s">
        <v>599</v>
      </c>
      <c r="G191" s="21" t="s">
        <v>600</v>
      </c>
      <c r="H191" s="21">
        <v>95000</v>
      </c>
      <c r="I191" s="21" t="s">
        <v>51</v>
      </c>
      <c r="J191" s="21" t="s">
        <v>52</v>
      </c>
      <c r="K191" s="21" t="s">
        <v>26</v>
      </c>
      <c r="L191" s="21" t="s">
        <v>27</v>
      </c>
      <c r="M191" s="21" t="s">
        <v>45</v>
      </c>
      <c r="N191" s="21" t="s">
        <v>29</v>
      </c>
      <c r="O191" s="24">
        <v>45479</v>
      </c>
      <c r="P191" s="24">
        <v>45478</v>
      </c>
      <c r="Q191" s="21" t="s">
        <v>30</v>
      </c>
      <c r="R191" s="21">
        <f t="shared" si="15"/>
        <v>6</v>
      </c>
      <c r="S191" s="23" t="str">
        <f t="shared" si="16"/>
        <v>Yes</v>
      </c>
      <c r="T191" s="21" t="str">
        <f t="shared" si="17"/>
        <v>Matched</v>
      </c>
      <c r="U191" s="2" t="str">
        <f>IF(COUNTIFS($B$2:B191,B191,$F$2:F191,F191,$H$2:H191,H191)&gt;1,"DUPLICATE","OK")</f>
        <v>OK</v>
      </c>
    </row>
    <row r="192" spans="1:21" x14ac:dyDescent="0.35">
      <c r="A192" s="21" t="s">
        <v>610</v>
      </c>
      <c r="B192" s="21" t="s">
        <v>39</v>
      </c>
      <c r="C192" s="21" t="s">
        <v>40</v>
      </c>
      <c r="D192" s="22">
        <v>45476</v>
      </c>
      <c r="E192" s="22" t="s">
        <v>694</v>
      </c>
      <c r="F192" s="21" t="s">
        <v>611</v>
      </c>
      <c r="G192" s="21" t="s">
        <v>612</v>
      </c>
      <c r="H192" s="21">
        <v>52000</v>
      </c>
      <c r="I192" s="21" t="s">
        <v>43</v>
      </c>
      <c r="J192" s="21" t="s">
        <v>44</v>
      </c>
      <c r="K192" s="21" t="s">
        <v>26</v>
      </c>
      <c r="L192" s="21" t="s">
        <v>113</v>
      </c>
      <c r="M192" s="21" t="s">
        <v>62</v>
      </c>
      <c r="N192" s="21" t="s">
        <v>114</v>
      </c>
      <c r="O192" s="24">
        <v>45483</v>
      </c>
      <c r="P192" s="21" t="s">
        <v>30</v>
      </c>
      <c r="Q192" s="21" t="s">
        <v>115</v>
      </c>
      <c r="R192" s="21" t="str">
        <f t="shared" si="15"/>
        <v>-</v>
      </c>
      <c r="S192" s="23" t="str">
        <f t="shared" si="16"/>
        <v>-</v>
      </c>
      <c r="T192" s="21" t="str">
        <f t="shared" si="17"/>
        <v>Matched</v>
      </c>
      <c r="U192" s="2" t="str">
        <f>IF(COUNTIFS($B$2:B192,B192,$F$2:F192,F192,$H$2:H192,H192)&gt;1,"DUPLICATE","OK")</f>
        <v>OK</v>
      </c>
    </row>
    <row r="193" spans="1:21" x14ac:dyDescent="0.35">
      <c r="A193" s="21" t="s">
        <v>625</v>
      </c>
      <c r="B193" s="21" t="s">
        <v>39</v>
      </c>
      <c r="C193" s="21" t="s">
        <v>48</v>
      </c>
      <c r="D193" s="22">
        <v>45481</v>
      </c>
      <c r="E193" s="22" t="s">
        <v>694</v>
      </c>
      <c r="F193" s="21" t="s">
        <v>626</v>
      </c>
      <c r="G193" s="21" t="s">
        <v>627</v>
      </c>
      <c r="H193" s="21">
        <v>68000</v>
      </c>
      <c r="I193" s="21" t="s">
        <v>43</v>
      </c>
      <c r="J193" s="21" t="s">
        <v>44</v>
      </c>
      <c r="K193" s="21" t="s">
        <v>26</v>
      </c>
      <c r="L193" s="21" t="s">
        <v>27</v>
      </c>
      <c r="M193" s="21" t="s">
        <v>28</v>
      </c>
      <c r="N193" s="21" t="s">
        <v>29</v>
      </c>
      <c r="O193" s="24">
        <v>45488</v>
      </c>
      <c r="P193" s="24">
        <v>45488</v>
      </c>
      <c r="Q193" s="21" t="s">
        <v>30</v>
      </c>
      <c r="R193" s="21">
        <f t="shared" si="15"/>
        <v>7</v>
      </c>
      <c r="S193" s="23" t="str">
        <f t="shared" si="16"/>
        <v>Yes</v>
      </c>
      <c r="T193" s="21" t="str">
        <f t="shared" si="17"/>
        <v>Matched</v>
      </c>
      <c r="U193" s="2" t="str">
        <f>IF(COUNTIFS($B$2:B193,B193,$F$2:F193,F193,$H$2:H193,H193)&gt;1,"DUPLICATE","OK")</f>
        <v>OK</v>
      </c>
    </row>
    <row r="194" spans="1:21" x14ac:dyDescent="0.35">
      <c r="A194" s="21" t="s">
        <v>607</v>
      </c>
      <c r="B194" s="21" t="s">
        <v>32</v>
      </c>
      <c r="C194" s="21" t="s">
        <v>33</v>
      </c>
      <c r="D194" s="22">
        <v>45475</v>
      </c>
      <c r="E194" s="22" t="s">
        <v>694</v>
      </c>
      <c r="F194" s="21" t="s">
        <v>608</v>
      </c>
      <c r="G194" s="21" t="s">
        <v>609</v>
      </c>
      <c r="H194" s="21">
        <v>89000</v>
      </c>
      <c r="I194" s="21" t="s">
        <v>36</v>
      </c>
      <c r="J194" s="21" t="s">
        <v>37</v>
      </c>
      <c r="K194" s="21" t="s">
        <v>26</v>
      </c>
      <c r="L194" s="21" t="s">
        <v>27</v>
      </c>
      <c r="M194" s="21" t="s">
        <v>28</v>
      </c>
      <c r="N194" s="21" t="s">
        <v>108</v>
      </c>
      <c r="O194" s="24">
        <v>45482</v>
      </c>
      <c r="P194" s="21" t="s">
        <v>30</v>
      </c>
      <c r="Q194" s="21" t="s">
        <v>109</v>
      </c>
      <c r="R194" s="21" t="str">
        <f t="shared" ref="R194:R201" si="18">IF(P194="-","-",P194-D194)</f>
        <v>-</v>
      </c>
      <c r="S194" s="23" t="str">
        <f t="shared" ref="S194:S201" si="19">IF(R194="-","-",IF(R194&lt;=7,"Yes","No"))</f>
        <v>-</v>
      </c>
      <c r="T194" s="21" t="str">
        <f t="shared" ref="T194:T201" si="20">IF(AND(F194&lt;&gt;"MISSING",G194&lt;&gt;"MISSING"),"Matched","Mismatched")</f>
        <v>Matched</v>
      </c>
      <c r="U194" s="2" t="str">
        <f>IF(COUNTIFS($B$2:B194,B194,$F$2:F194,F194,$H$2:H194,H194)&gt;1,"DUPLICATE","OK")</f>
        <v>OK</v>
      </c>
    </row>
    <row r="195" spans="1:21" x14ac:dyDescent="0.35">
      <c r="A195" s="21" t="s">
        <v>622</v>
      </c>
      <c r="B195" s="21" t="s">
        <v>32</v>
      </c>
      <c r="C195" s="21" t="s">
        <v>40</v>
      </c>
      <c r="D195" s="22">
        <v>45480</v>
      </c>
      <c r="E195" s="22" t="s">
        <v>694</v>
      </c>
      <c r="F195" s="21" t="s">
        <v>623</v>
      </c>
      <c r="G195" s="21" t="s">
        <v>624</v>
      </c>
      <c r="H195" s="21">
        <v>93000</v>
      </c>
      <c r="I195" s="21" t="s">
        <v>36</v>
      </c>
      <c r="J195" s="21" t="s">
        <v>37</v>
      </c>
      <c r="K195" s="21" t="s">
        <v>26</v>
      </c>
      <c r="L195" s="21" t="s">
        <v>27</v>
      </c>
      <c r="M195" s="21" t="s">
        <v>28</v>
      </c>
      <c r="N195" s="21" t="s">
        <v>29</v>
      </c>
      <c r="O195" s="24">
        <v>45487</v>
      </c>
      <c r="P195" s="24">
        <v>45487</v>
      </c>
      <c r="Q195" s="21" t="s">
        <v>30</v>
      </c>
      <c r="R195" s="21">
        <f t="shared" si="18"/>
        <v>7</v>
      </c>
      <c r="S195" s="23" t="str">
        <f t="shared" si="19"/>
        <v>Yes</v>
      </c>
      <c r="T195" s="21" t="str">
        <f t="shared" si="20"/>
        <v>Matched</v>
      </c>
      <c r="U195" s="2" t="str">
        <f>IF(COUNTIFS($B$2:B195,B195,$F$2:F195,F195,$H$2:H195,H195)&gt;1,"DUPLICATE","OK")</f>
        <v>OK</v>
      </c>
    </row>
    <row r="196" spans="1:21" x14ac:dyDescent="0.35">
      <c r="A196" s="21" t="s">
        <v>604</v>
      </c>
      <c r="B196" s="21" t="s">
        <v>20</v>
      </c>
      <c r="C196" s="21" t="s">
        <v>21</v>
      </c>
      <c r="D196" s="22">
        <v>45474</v>
      </c>
      <c r="E196" s="22" t="s">
        <v>694</v>
      </c>
      <c r="F196" s="21" t="s">
        <v>605</v>
      </c>
      <c r="G196" s="21" t="s">
        <v>606</v>
      </c>
      <c r="H196" s="21">
        <v>64000</v>
      </c>
      <c r="I196" s="21" t="s">
        <v>24</v>
      </c>
      <c r="J196" s="21" t="s">
        <v>25</v>
      </c>
      <c r="K196" s="21" t="s">
        <v>26</v>
      </c>
      <c r="L196" s="21" t="s">
        <v>27</v>
      </c>
      <c r="M196" s="21" t="s">
        <v>28</v>
      </c>
      <c r="N196" s="21" t="s">
        <v>29</v>
      </c>
      <c r="O196" s="24">
        <v>45481</v>
      </c>
      <c r="P196" s="24">
        <v>45481</v>
      </c>
      <c r="Q196" s="21" t="s">
        <v>30</v>
      </c>
      <c r="R196" s="21">
        <f t="shared" si="18"/>
        <v>7</v>
      </c>
      <c r="S196" s="23" t="str">
        <f t="shared" si="19"/>
        <v>Yes</v>
      </c>
      <c r="T196" s="21" t="str">
        <f t="shared" si="20"/>
        <v>Matched</v>
      </c>
      <c r="U196" s="2" t="str">
        <f>IF(COUNTIFS($B$2:B196,B196,$F$2:F196,F196,$H$2:H196,H196)&gt;1,"DUPLICATE","OK")</f>
        <v>OK</v>
      </c>
    </row>
    <row r="197" spans="1:21" x14ac:dyDescent="0.35">
      <c r="A197" s="21" t="s">
        <v>619</v>
      </c>
      <c r="B197" s="21" t="s">
        <v>20</v>
      </c>
      <c r="C197" s="21" t="s">
        <v>33</v>
      </c>
      <c r="D197" s="22">
        <v>45479</v>
      </c>
      <c r="E197" s="22" t="s">
        <v>694</v>
      </c>
      <c r="F197" s="21" t="s">
        <v>620</v>
      </c>
      <c r="G197" s="21" t="s">
        <v>621</v>
      </c>
      <c r="H197" s="21">
        <v>-25000</v>
      </c>
      <c r="I197" s="21" t="s">
        <v>24</v>
      </c>
      <c r="J197" s="21" t="s">
        <v>25</v>
      </c>
      <c r="K197" s="21" t="s">
        <v>411</v>
      </c>
      <c r="L197" s="21" t="s">
        <v>27</v>
      </c>
      <c r="M197" s="21" t="s">
        <v>28</v>
      </c>
      <c r="N197" s="21" t="s">
        <v>29</v>
      </c>
      <c r="O197" s="24">
        <v>45486</v>
      </c>
      <c r="P197" s="24">
        <v>45486</v>
      </c>
      <c r="Q197" s="21" t="s">
        <v>412</v>
      </c>
      <c r="R197" s="21">
        <f t="shared" si="18"/>
        <v>7</v>
      </c>
      <c r="S197" s="23" t="str">
        <f t="shared" si="19"/>
        <v>Yes</v>
      </c>
      <c r="T197" s="21" t="str">
        <f t="shared" si="20"/>
        <v>Matched</v>
      </c>
      <c r="U197" s="2" t="str">
        <f>IF(COUNTIFS($B$2:B197,B197,$F$2:F197,F197,$H$2:H197,H197)&gt;1,"DUPLICATE","OK")</f>
        <v>OK</v>
      </c>
    </row>
    <row r="198" spans="1:21" x14ac:dyDescent="0.35">
      <c r="A198" s="21" t="s">
        <v>616</v>
      </c>
      <c r="B198" s="21" t="s">
        <v>54</v>
      </c>
      <c r="C198" s="21" t="s">
        <v>21</v>
      </c>
      <c r="D198" s="22">
        <v>45478</v>
      </c>
      <c r="E198" s="22" t="s">
        <v>694</v>
      </c>
      <c r="F198" s="21" t="s">
        <v>617</v>
      </c>
      <c r="G198" s="21" t="s">
        <v>618</v>
      </c>
      <c r="H198" s="21">
        <v>169000</v>
      </c>
      <c r="I198" s="21" t="s">
        <v>57</v>
      </c>
      <c r="J198" s="21" t="s">
        <v>58</v>
      </c>
      <c r="K198" s="21" t="s">
        <v>26</v>
      </c>
      <c r="L198" s="21" t="s">
        <v>27</v>
      </c>
      <c r="M198" s="21" t="s">
        <v>45</v>
      </c>
      <c r="N198" s="21" t="s">
        <v>29</v>
      </c>
      <c r="O198" s="24">
        <v>45485</v>
      </c>
      <c r="P198" s="24">
        <v>45485</v>
      </c>
      <c r="Q198" s="21" t="s">
        <v>30</v>
      </c>
      <c r="R198" s="21">
        <f t="shared" si="18"/>
        <v>7</v>
      </c>
      <c r="S198" s="23" t="str">
        <f t="shared" si="19"/>
        <v>Yes</v>
      </c>
      <c r="T198" s="21" t="str">
        <f t="shared" si="20"/>
        <v>Matched</v>
      </c>
      <c r="U198" s="2" t="str">
        <f>IF(COUNTIFS($B$2:B198,B198,$F$2:F198,F198,$H$2:H198,H198)&gt;1,"DUPLICATE","OK")</f>
        <v>OK</v>
      </c>
    </row>
    <row r="199" spans="1:21" x14ac:dyDescent="0.35">
      <c r="A199" s="21" t="s">
        <v>631</v>
      </c>
      <c r="B199" s="21" t="s">
        <v>54</v>
      </c>
      <c r="C199" s="21" t="s">
        <v>33</v>
      </c>
      <c r="D199" s="22">
        <v>45483</v>
      </c>
      <c r="E199" s="22" t="s">
        <v>694</v>
      </c>
      <c r="F199" s="21" t="s">
        <v>632</v>
      </c>
      <c r="G199" s="21" t="s">
        <v>633</v>
      </c>
      <c r="H199" s="21">
        <v>155000</v>
      </c>
      <c r="I199" s="21" t="s">
        <v>57</v>
      </c>
      <c r="J199" s="21" t="s">
        <v>58</v>
      </c>
      <c r="K199" s="21" t="s">
        <v>26</v>
      </c>
      <c r="L199" s="21" t="s">
        <v>27</v>
      </c>
      <c r="M199" s="21" t="s">
        <v>28</v>
      </c>
      <c r="N199" s="21" t="s">
        <v>29</v>
      </c>
      <c r="O199" s="24">
        <v>45490</v>
      </c>
      <c r="P199" s="24">
        <v>45490</v>
      </c>
      <c r="Q199" s="21" t="s">
        <v>30</v>
      </c>
      <c r="R199" s="21">
        <f t="shared" si="18"/>
        <v>7</v>
      </c>
      <c r="S199" s="23" t="str">
        <f t="shared" si="19"/>
        <v>Yes</v>
      </c>
      <c r="T199" s="21" t="str">
        <f t="shared" si="20"/>
        <v>Matched</v>
      </c>
      <c r="U199" s="2" t="str">
        <f>IF(COUNTIFS($B$2:B199,B199,$F$2:F199,F199,$H$2:H199,H199)&gt;1,"DUPLICATE","OK")</f>
        <v>OK</v>
      </c>
    </row>
    <row r="200" spans="1:21" x14ac:dyDescent="0.35">
      <c r="A200" s="21" t="s">
        <v>613</v>
      </c>
      <c r="B200" s="21" t="s">
        <v>47</v>
      </c>
      <c r="C200" s="21" t="s">
        <v>48</v>
      </c>
      <c r="D200" s="22">
        <v>45477</v>
      </c>
      <c r="E200" s="22" t="s">
        <v>694</v>
      </c>
      <c r="F200" s="21" t="s">
        <v>614</v>
      </c>
      <c r="G200" s="21" t="s">
        <v>615</v>
      </c>
      <c r="H200" s="21">
        <v>77000</v>
      </c>
      <c r="I200" s="21" t="s">
        <v>51</v>
      </c>
      <c r="J200" s="21" t="s">
        <v>52</v>
      </c>
      <c r="K200" s="21" t="s">
        <v>26</v>
      </c>
      <c r="L200" s="21" t="s">
        <v>27</v>
      </c>
      <c r="M200" s="21" t="s">
        <v>28</v>
      </c>
      <c r="N200" s="21" t="s">
        <v>29</v>
      </c>
      <c r="O200" s="24">
        <v>45484</v>
      </c>
      <c r="P200" s="24">
        <v>45484</v>
      </c>
      <c r="Q200" s="21" t="s">
        <v>30</v>
      </c>
      <c r="R200" s="21">
        <f t="shared" si="18"/>
        <v>7</v>
      </c>
      <c r="S200" s="23" t="str">
        <f t="shared" si="19"/>
        <v>Yes</v>
      </c>
      <c r="T200" s="21" t="str">
        <f t="shared" si="20"/>
        <v>Matched</v>
      </c>
      <c r="U200" s="2" t="str">
        <f>IF(COUNTIFS($B$2:B200,B200,$F$2:F200,F200,$H$2:H200,H200)&gt;1,"DUPLICATE","OK")</f>
        <v>OK</v>
      </c>
    </row>
    <row r="201" spans="1:21" x14ac:dyDescent="0.35">
      <c r="A201" s="21" t="s">
        <v>628</v>
      </c>
      <c r="B201" s="21" t="s">
        <v>47</v>
      </c>
      <c r="C201" s="21" t="s">
        <v>21</v>
      </c>
      <c r="D201" s="22">
        <v>45482</v>
      </c>
      <c r="E201" s="22" t="s">
        <v>694</v>
      </c>
      <c r="F201" s="21" t="s">
        <v>629</v>
      </c>
      <c r="G201" s="21" t="s">
        <v>630</v>
      </c>
      <c r="H201" s="21">
        <v>86000</v>
      </c>
      <c r="I201" s="21" t="s">
        <v>51</v>
      </c>
      <c r="J201" s="21" t="s">
        <v>52</v>
      </c>
      <c r="K201" s="21" t="s">
        <v>26</v>
      </c>
      <c r="L201" s="21" t="s">
        <v>27</v>
      </c>
      <c r="M201" s="21" t="s">
        <v>45</v>
      </c>
      <c r="N201" s="21" t="s">
        <v>29</v>
      </c>
      <c r="O201" s="24">
        <v>45489</v>
      </c>
      <c r="P201" s="24">
        <v>45488</v>
      </c>
      <c r="Q201" s="21" t="s">
        <v>30</v>
      </c>
      <c r="R201" s="21">
        <f t="shared" si="18"/>
        <v>6</v>
      </c>
      <c r="S201" s="23" t="str">
        <f t="shared" si="19"/>
        <v>Yes</v>
      </c>
      <c r="T201" s="21" t="str">
        <f t="shared" si="20"/>
        <v>Matched</v>
      </c>
      <c r="U201" s="2" t="str">
        <f>IF(COUNTIFS($B$2:B201,B201,$F$2:F201,F201,$H$2:H201,H201)&gt;1,"DUPLICATE","OK")</f>
        <v>OK</v>
      </c>
    </row>
  </sheetData>
  <conditionalFormatting sqref="N2:N201">
    <cfRule type="cellIs" dxfId="39" priority="2" operator="equal">
      <formula>"Approved"</formula>
    </cfRule>
    <cfRule type="cellIs" dxfId="38" priority="3" operator="equal">
      <formula>"On Hold"</formula>
    </cfRule>
    <cfRule type="cellIs" dxfId="37" priority="4" operator="equal">
      <formula>"Pending"</formula>
    </cfRule>
  </conditionalFormatting>
  <conditionalFormatting sqref="S2:S201">
    <cfRule type="cellIs" dxfId="36" priority="5" operator="equal">
      <formula>"Yes"</formula>
    </cfRule>
    <cfRule type="cellIs" dxfId="35" priority="6" operator="equal">
      <formula>"No"</formula>
    </cfRule>
  </conditionalFormatting>
  <conditionalFormatting sqref="T2:T201">
    <cfRule type="cellIs" dxfId="34" priority="7" operator="equal">
      <formula>"Mismatch"</formula>
    </cfRule>
  </conditionalFormatting>
  <conditionalFormatting sqref="U2:U201">
    <cfRule type="containsText" dxfId="33" priority="1" operator="containsText" text="Duplicate">
      <formula>NOT(ISERROR(SEARCH("Duplicate",U2)))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AE74A-5C9F-416A-8B1A-658C665A621D}">
  <dimension ref="A1:J36"/>
  <sheetViews>
    <sheetView tabSelected="1" workbookViewId="0">
      <selection activeCell="D6" sqref="D6:D36"/>
    </sheetView>
  </sheetViews>
  <sheetFormatPr defaultRowHeight="14.5" x14ac:dyDescent="0.35"/>
  <cols>
    <col min="1" max="1" width="16.54296875" bestFit="1" customWidth="1"/>
    <col min="2" max="2" width="7.36328125" customWidth="1"/>
    <col min="3" max="3" width="23.54296875" customWidth="1"/>
    <col min="4" max="4" width="23.36328125" customWidth="1"/>
    <col min="5" max="5" width="22.7265625" customWidth="1"/>
    <col min="6" max="6" width="10.453125" bestFit="1" customWidth="1"/>
    <col min="7" max="7" width="38" bestFit="1" customWidth="1"/>
    <col min="8" max="8" width="29.90625" customWidth="1"/>
    <col min="9" max="9" width="19.36328125" customWidth="1"/>
    <col min="10" max="10" width="12.36328125" customWidth="1"/>
  </cols>
  <sheetData>
    <row r="1" spans="1:10" x14ac:dyDescent="0.35">
      <c r="A1" s="1" t="s">
        <v>635</v>
      </c>
      <c r="B1" s="1" t="s">
        <v>644</v>
      </c>
      <c r="C1" s="1" t="s">
        <v>636</v>
      </c>
      <c r="D1" s="1" t="s">
        <v>637</v>
      </c>
      <c r="E1" s="1" t="s">
        <v>638</v>
      </c>
      <c r="F1" s="1" t="s">
        <v>639</v>
      </c>
      <c r="G1" s="1" t="s">
        <v>640</v>
      </c>
      <c r="H1" s="1" t="s">
        <v>641</v>
      </c>
      <c r="I1" s="1" t="s">
        <v>642</v>
      </c>
      <c r="J1" s="1" t="s">
        <v>643</v>
      </c>
    </row>
    <row r="2" spans="1:10" x14ac:dyDescent="0.35">
      <c r="A2" s="2" t="s">
        <v>20</v>
      </c>
      <c r="B2" s="3" t="s">
        <v>688</v>
      </c>
      <c r="C2" s="2">
        <f>SUMIFS('Invoice Master'!$H$2:$H$201,'Invoice Master'!$B$2:$B$201,Supplier!A2,'Invoice Master'!$E$2:$E$201,B2)</f>
        <v>328000</v>
      </c>
      <c r="D2" s="2">
        <f>SUMIFS('Invoice Master'!$H$2:$H$201,'Invoice Master'!$B$2:$B$201,Supplier!A2,'Invoice Master'!$E$2:$E$201,Supplier!B2,'Invoice Master'!$U$2:$U$201,"OK")</f>
        <v>260000</v>
      </c>
      <c r="E2" s="2">
        <f>C2-D2</f>
        <v>68000</v>
      </c>
      <c r="F2" s="2" t="str">
        <f>IF(E2=0,"Matched","Unmatched")</f>
        <v>Unmatched</v>
      </c>
      <c r="G2" s="2" t="str">
        <f>IF(E2=0,"-","Difference due to duplicate invoice detected")</f>
        <v>Difference due to duplicate invoice detected</v>
      </c>
      <c r="H2" s="4">
        <v>45337</v>
      </c>
      <c r="I2" s="2" t="s">
        <v>108</v>
      </c>
      <c r="J2" s="2"/>
    </row>
    <row r="3" spans="1:10" x14ac:dyDescent="0.35">
      <c r="A3" s="2" t="s">
        <v>32</v>
      </c>
      <c r="B3" s="3" t="s">
        <v>688</v>
      </c>
      <c r="C3" s="2">
        <f>SUMIFS('Invoice Master'!$H$2:$H$201,'Invoice Master'!$B$2:$B$201,Supplier!A3,'Invoice Master'!$E$2:$E$201,B3)</f>
        <v>834000</v>
      </c>
      <c r="D3" s="2">
        <f>SUMIFS('Invoice Master'!$H$2:$H$201,'Invoice Master'!$B$2:$B$201,Supplier!A3,'Invoice Master'!$E$2:$E$201,Supplier!B3,'Invoice Master'!$U$2:$U$201,"Ok")</f>
        <v>611000</v>
      </c>
      <c r="E3" s="2">
        <f t="shared" ref="E3:E36" si="0">C3-D3</f>
        <v>223000</v>
      </c>
      <c r="F3" s="2" t="str">
        <f t="shared" ref="F3:F36" si="1">IF(E3=0,"Matched","Unmatched")</f>
        <v>Unmatched</v>
      </c>
      <c r="G3" s="2" t="str">
        <f t="shared" ref="G3:G36" si="2">IF(E3=0,"-","Difference due to duplicate invoice detected")</f>
        <v>Difference due to duplicate invoice detected</v>
      </c>
      <c r="H3" s="4">
        <v>45337</v>
      </c>
      <c r="I3" s="2" t="s">
        <v>108</v>
      </c>
      <c r="J3" s="2"/>
    </row>
    <row r="4" spans="1:10" x14ac:dyDescent="0.35">
      <c r="A4" s="2" t="s">
        <v>39</v>
      </c>
      <c r="B4" s="3" t="s">
        <v>688</v>
      </c>
      <c r="C4" s="2">
        <f>SUMIFS('Invoice Master'!$H$2:$H$201,'Invoice Master'!$B$2:$B$201,Supplier!A4,'Invoice Master'!$E$2:$E$201,B4)</f>
        <v>434000</v>
      </c>
      <c r="D4" s="2">
        <f>SUMIFS('Invoice Master'!$H$2:$H$201,'Invoice Master'!$B$2:$B$201,Supplier!A4,'Invoice Master'!$E$2:$E$201,Supplier!B4,'Invoice Master'!$U$2:$U$201,"Ok")</f>
        <v>335000</v>
      </c>
      <c r="E4" s="2">
        <f t="shared" si="0"/>
        <v>99000</v>
      </c>
      <c r="F4" s="2" t="str">
        <f t="shared" si="1"/>
        <v>Unmatched</v>
      </c>
      <c r="G4" s="2" t="str">
        <f t="shared" si="2"/>
        <v>Difference due to duplicate invoice detected</v>
      </c>
      <c r="H4" s="4">
        <v>45337</v>
      </c>
      <c r="I4" s="2" t="s">
        <v>108</v>
      </c>
      <c r="J4" s="2"/>
    </row>
    <row r="5" spans="1:10" x14ac:dyDescent="0.35">
      <c r="A5" s="2" t="s">
        <v>47</v>
      </c>
      <c r="B5" s="3" t="s">
        <v>688</v>
      </c>
      <c r="C5" s="2">
        <f>SUMIFS('Invoice Master'!$H$2:$H$201,'Invoice Master'!$B$2:$B$201,Supplier!A5,'Invoice Master'!$E$2:$E$201,B5)</f>
        <v>433000</v>
      </c>
      <c r="D5" s="2">
        <f>SUMIFS('Invoice Master'!$H$2:$H$201,'Invoice Master'!$B$2:$B$201,Supplier!A5,'Invoice Master'!$E$2:$E$201,Supplier!B5,'Invoice Master'!$U$2:$U$201,"Ok")</f>
        <v>339000</v>
      </c>
      <c r="E5" s="2">
        <f t="shared" si="0"/>
        <v>94000</v>
      </c>
      <c r="F5" s="2" t="str">
        <f t="shared" si="1"/>
        <v>Unmatched</v>
      </c>
      <c r="G5" s="2" t="str">
        <f t="shared" si="2"/>
        <v>Difference due to duplicate invoice detected</v>
      </c>
      <c r="H5" s="4">
        <v>45337</v>
      </c>
      <c r="I5" s="2" t="s">
        <v>108</v>
      </c>
      <c r="J5" s="2"/>
    </row>
    <row r="6" spans="1:10" x14ac:dyDescent="0.35">
      <c r="A6" s="2" t="s">
        <v>54</v>
      </c>
      <c r="B6" s="3" t="s">
        <v>688</v>
      </c>
      <c r="C6" s="2">
        <f>SUMIFS('Invoice Master'!$H$2:$H$201,'Invoice Master'!$B$2:$B$201,Supplier!A6,'Invoice Master'!$E$2:$E$201,B6)</f>
        <v>885000</v>
      </c>
      <c r="D6" s="2">
        <f>SUMIFS('Invoice Master'!$H$2:$H$201,'Invoice Master'!$B$2:$B$201,Supplier!A6,'Invoice Master'!$E$2:$E$201,Supplier!B6,'Invoice Master'!$U$2:$U$201,"Ok")</f>
        <v>681000</v>
      </c>
      <c r="E6" s="2">
        <f>C6-D6</f>
        <v>204000</v>
      </c>
      <c r="F6" s="2" t="str">
        <f t="shared" si="1"/>
        <v>Unmatched</v>
      </c>
      <c r="G6" s="2" t="str">
        <f t="shared" si="2"/>
        <v>Difference due to duplicate invoice detected</v>
      </c>
      <c r="H6" s="4">
        <v>45337</v>
      </c>
      <c r="I6" s="2" t="s">
        <v>108</v>
      </c>
      <c r="J6" s="2"/>
    </row>
    <row r="7" spans="1:10" x14ac:dyDescent="0.35">
      <c r="A7" s="2" t="s">
        <v>20</v>
      </c>
      <c r="B7" s="3" t="s">
        <v>689</v>
      </c>
      <c r="C7" s="2">
        <f>SUMIFS('Invoice Master'!$H$2:$H$201,'Invoice Master'!$B$2:$B$201,Supplier!A7,'Invoice Master'!$E$2:$E$201,B7)</f>
        <v>264000</v>
      </c>
      <c r="D7" s="2">
        <f>SUMIFS('Invoice Master'!$H$2:$H$201,'Invoice Master'!$B$2:$B$201,Supplier!A7,'Invoice Master'!$E$2:$E$201,Supplier!B7,'Invoice Master'!$U$2:$U$201,"Ok")</f>
        <v>264000</v>
      </c>
      <c r="E7" s="2">
        <f t="shared" si="0"/>
        <v>0</v>
      </c>
      <c r="F7" s="2" t="str">
        <f t="shared" si="1"/>
        <v>Matched</v>
      </c>
      <c r="G7" s="5" t="str">
        <f t="shared" si="2"/>
        <v>-</v>
      </c>
      <c r="H7" s="5" t="s">
        <v>30</v>
      </c>
      <c r="I7" s="5" t="s">
        <v>30</v>
      </c>
      <c r="J7" s="2"/>
    </row>
    <row r="8" spans="1:10" x14ac:dyDescent="0.35">
      <c r="A8" s="2" t="s">
        <v>32</v>
      </c>
      <c r="B8" s="3" t="s">
        <v>689</v>
      </c>
      <c r="C8" s="2">
        <f>SUMIFS('Invoice Master'!$H$2:$H$201,'Invoice Master'!$B$2:$B$201,Supplier!A8,'Invoice Master'!$E$2:$E$201,B8)</f>
        <v>533000</v>
      </c>
      <c r="D8" s="2">
        <f>SUMIFS('Invoice Master'!$H$2:$H$201,'Invoice Master'!$B$2:$B$201,Supplier!A8,'Invoice Master'!$E$2:$E$201,Supplier!B8,'Invoice Master'!$U$2:$U$201,"Ok")</f>
        <v>533000</v>
      </c>
      <c r="E8" s="2">
        <f t="shared" si="0"/>
        <v>0</v>
      </c>
      <c r="F8" s="2" t="str">
        <f t="shared" si="1"/>
        <v>Matched</v>
      </c>
      <c r="G8" s="5" t="str">
        <f t="shared" si="2"/>
        <v>-</v>
      </c>
      <c r="H8" s="5" t="s">
        <v>30</v>
      </c>
      <c r="I8" s="5" t="s">
        <v>30</v>
      </c>
      <c r="J8" s="2"/>
    </row>
    <row r="9" spans="1:10" x14ac:dyDescent="0.35">
      <c r="A9" s="2" t="s">
        <v>39</v>
      </c>
      <c r="B9" s="3" t="s">
        <v>689</v>
      </c>
      <c r="C9" s="2">
        <f>SUMIFS('Invoice Master'!$H$2:$H$201,'Invoice Master'!$B$2:$B$201,Supplier!A9,'Invoice Master'!$E$2:$E$201,B9)</f>
        <v>357000</v>
      </c>
      <c r="D9" s="2">
        <f>SUMIFS('Invoice Master'!$H$2:$H$201,'Invoice Master'!$B$2:$B$201,Supplier!A9,'Invoice Master'!$E$2:$E$201,Supplier!B9,'Invoice Master'!$U$2:$U$201,"Ok")</f>
        <v>357000</v>
      </c>
      <c r="E9" s="2">
        <f t="shared" si="0"/>
        <v>0</v>
      </c>
      <c r="F9" s="2" t="str">
        <f t="shared" si="1"/>
        <v>Matched</v>
      </c>
      <c r="G9" s="5" t="str">
        <f t="shared" si="2"/>
        <v>-</v>
      </c>
      <c r="H9" s="5" t="s">
        <v>30</v>
      </c>
      <c r="I9" s="5" t="s">
        <v>30</v>
      </c>
      <c r="J9" s="2"/>
    </row>
    <row r="10" spans="1:10" x14ac:dyDescent="0.35">
      <c r="A10" s="2" t="s">
        <v>47</v>
      </c>
      <c r="B10" s="3" t="s">
        <v>689</v>
      </c>
      <c r="C10" s="2">
        <f>SUMIFS('Invoice Master'!$H$2:$H$201,'Invoice Master'!$B$2:$B$201,Supplier!A10,'Invoice Master'!$E$2:$E$201,B10)</f>
        <v>470000</v>
      </c>
      <c r="D10" s="2">
        <f>SUMIFS('Invoice Master'!$H$2:$H$201,'Invoice Master'!$B$2:$B$201,Supplier!A10,'Invoice Master'!$E$2:$E$201,Supplier!B10,'Invoice Master'!$U$2:$U$201,"Ok")</f>
        <v>470000</v>
      </c>
      <c r="E10" s="2">
        <f t="shared" si="0"/>
        <v>0</v>
      </c>
      <c r="F10" s="2" t="str">
        <f t="shared" si="1"/>
        <v>Matched</v>
      </c>
      <c r="G10" s="5" t="str">
        <f t="shared" si="2"/>
        <v>-</v>
      </c>
      <c r="H10" s="5" t="s">
        <v>30</v>
      </c>
      <c r="I10" s="5" t="s">
        <v>30</v>
      </c>
      <c r="J10" s="2"/>
    </row>
    <row r="11" spans="1:10" x14ac:dyDescent="0.35">
      <c r="A11" s="2" t="s">
        <v>54</v>
      </c>
      <c r="B11" s="3" t="s">
        <v>689</v>
      </c>
      <c r="C11" s="2">
        <f>SUMIFS('Invoice Master'!$H$2:$H$201,'Invoice Master'!$B$2:$B$201,Supplier!A11,'Invoice Master'!$E$2:$E$201,B11)</f>
        <v>768000</v>
      </c>
      <c r="D11" s="2">
        <f>SUMIFS('Invoice Master'!$H$2:$H$201,'Invoice Master'!$B$2:$B$201,Supplier!A11,'Invoice Master'!$E$2:$E$201,Supplier!B11,'Invoice Master'!$U$2:$U$201,"Ok")</f>
        <v>768000</v>
      </c>
      <c r="E11" s="2">
        <f t="shared" si="0"/>
        <v>0</v>
      </c>
      <c r="F11" s="2" t="str">
        <f t="shared" si="1"/>
        <v>Matched</v>
      </c>
      <c r="G11" s="5" t="str">
        <f t="shared" si="2"/>
        <v>-</v>
      </c>
      <c r="H11" s="5" t="s">
        <v>30</v>
      </c>
      <c r="I11" s="5" t="s">
        <v>30</v>
      </c>
      <c r="J11" s="2"/>
    </row>
    <row r="12" spans="1:10" x14ac:dyDescent="0.35">
      <c r="A12" s="2" t="s">
        <v>20</v>
      </c>
      <c r="B12" s="3" t="s">
        <v>690</v>
      </c>
      <c r="C12" s="2">
        <f>SUMIFS('Invoice Master'!$H$2:$H$201,'Invoice Master'!$B$2:$B$201,Supplier!A12,'Invoice Master'!$E$2:$E$201,B12)</f>
        <v>268000</v>
      </c>
      <c r="D12" s="2">
        <f>SUMIFS('Invoice Master'!$H$2:$H$201,'Invoice Master'!$B$2:$B$201,Supplier!A12,'Invoice Master'!$E$2:$E$201,Supplier!B12,'Invoice Master'!$U$2:$U$201,"Ok")</f>
        <v>268000</v>
      </c>
      <c r="E12" s="2">
        <f t="shared" si="0"/>
        <v>0</v>
      </c>
      <c r="F12" s="2" t="str">
        <f t="shared" si="1"/>
        <v>Matched</v>
      </c>
      <c r="G12" s="5" t="str">
        <f t="shared" si="2"/>
        <v>-</v>
      </c>
      <c r="H12" s="5" t="s">
        <v>30</v>
      </c>
      <c r="I12" s="5" t="s">
        <v>30</v>
      </c>
      <c r="J12" s="2"/>
    </row>
    <row r="13" spans="1:10" x14ac:dyDescent="0.35">
      <c r="A13" s="2" t="s">
        <v>32</v>
      </c>
      <c r="B13" s="3" t="s">
        <v>690</v>
      </c>
      <c r="C13" s="2">
        <f>SUMIFS('Invoice Master'!$H$2:$H$201,'Invoice Master'!$B$2:$B$201,Supplier!A13,'Invoice Master'!$E$2:$E$201,B13)</f>
        <v>563000</v>
      </c>
      <c r="D13" s="2">
        <f>SUMIFS('Invoice Master'!$H$2:$H$201,'Invoice Master'!$B$2:$B$201,Supplier!A13,'Invoice Master'!$E$2:$E$201,Supplier!B13,'Invoice Master'!$U$2:$U$201,"Ok")</f>
        <v>563000</v>
      </c>
      <c r="E13" s="2">
        <f t="shared" si="0"/>
        <v>0</v>
      </c>
      <c r="F13" s="2" t="str">
        <f t="shared" si="1"/>
        <v>Matched</v>
      </c>
      <c r="G13" s="5" t="str">
        <f t="shared" si="2"/>
        <v>-</v>
      </c>
      <c r="H13" s="5" t="s">
        <v>30</v>
      </c>
      <c r="I13" s="5" t="s">
        <v>30</v>
      </c>
      <c r="J13" s="2"/>
    </row>
    <row r="14" spans="1:10" x14ac:dyDescent="0.35">
      <c r="A14" s="2" t="s">
        <v>39</v>
      </c>
      <c r="B14" s="3" t="s">
        <v>690</v>
      </c>
      <c r="C14" s="2">
        <f>SUMIFS('Invoice Master'!$H$2:$H$201,'Invoice Master'!$B$2:$B$201,Supplier!A14,'Invoice Master'!$E$2:$E$201,B14)</f>
        <v>389000</v>
      </c>
      <c r="D14" s="2">
        <f>SUMIFS('Invoice Master'!$H$2:$H$201,'Invoice Master'!$B$2:$B$201,Supplier!A14,'Invoice Master'!$E$2:$E$201,Supplier!B14,'Invoice Master'!$U$2:$U$201,"Ok")</f>
        <v>389000</v>
      </c>
      <c r="E14" s="2">
        <f t="shared" si="0"/>
        <v>0</v>
      </c>
      <c r="F14" s="2" t="str">
        <f t="shared" si="1"/>
        <v>Matched</v>
      </c>
      <c r="G14" s="5" t="str">
        <f t="shared" si="2"/>
        <v>-</v>
      </c>
      <c r="H14" s="5" t="s">
        <v>30</v>
      </c>
      <c r="I14" s="5" t="s">
        <v>30</v>
      </c>
      <c r="J14" s="2"/>
    </row>
    <row r="15" spans="1:10" x14ac:dyDescent="0.35">
      <c r="A15" s="2" t="s">
        <v>47</v>
      </c>
      <c r="B15" s="3" t="s">
        <v>690</v>
      </c>
      <c r="C15" s="2">
        <f>SUMIFS('Invoice Master'!$H$2:$H$201,'Invoice Master'!$B$2:$B$201,Supplier!A15,'Invoice Master'!$E$2:$E$201,B15)</f>
        <v>415000</v>
      </c>
      <c r="D15" s="2">
        <f>SUMIFS('Invoice Master'!$H$2:$H$201,'Invoice Master'!$B$2:$B$201,Supplier!A15,'Invoice Master'!$E$2:$E$201,Supplier!B15,'Invoice Master'!$U$2:$U$201,"Ok")</f>
        <v>415000</v>
      </c>
      <c r="E15" s="2">
        <f t="shared" si="0"/>
        <v>0</v>
      </c>
      <c r="F15" s="2" t="str">
        <f t="shared" si="1"/>
        <v>Matched</v>
      </c>
      <c r="G15" s="5" t="str">
        <f t="shared" si="2"/>
        <v>-</v>
      </c>
      <c r="H15" s="5" t="s">
        <v>30</v>
      </c>
      <c r="I15" s="5" t="s">
        <v>30</v>
      </c>
      <c r="J15" s="2"/>
    </row>
    <row r="16" spans="1:10" x14ac:dyDescent="0.35">
      <c r="A16" s="2" t="s">
        <v>54</v>
      </c>
      <c r="B16" s="3" t="s">
        <v>690</v>
      </c>
      <c r="C16" s="2">
        <f>SUMIFS('Invoice Master'!$H$2:$H$201,'Invoice Master'!$B$2:$B$201,Supplier!A16,'Invoice Master'!$E$2:$E$201,B16)</f>
        <v>1045000</v>
      </c>
      <c r="D16" s="2">
        <f>SUMIFS('Invoice Master'!$H$2:$H$201,'Invoice Master'!$B$2:$B$201,Supplier!A16,'Invoice Master'!$E$2:$E$201,Supplier!B16,'Invoice Master'!$U$2:$U$201,"Ok")</f>
        <v>1045000</v>
      </c>
      <c r="E16" s="2">
        <f t="shared" si="0"/>
        <v>0</v>
      </c>
      <c r="F16" s="2" t="str">
        <f t="shared" si="1"/>
        <v>Matched</v>
      </c>
      <c r="G16" s="5" t="str">
        <f t="shared" si="2"/>
        <v>-</v>
      </c>
      <c r="H16" s="5" t="s">
        <v>30</v>
      </c>
      <c r="I16" s="5" t="s">
        <v>30</v>
      </c>
      <c r="J16" s="2"/>
    </row>
    <row r="17" spans="1:10" x14ac:dyDescent="0.35">
      <c r="A17" s="2" t="s">
        <v>20</v>
      </c>
      <c r="B17" s="3" t="s">
        <v>691</v>
      </c>
      <c r="C17" s="2">
        <f>SUMIFS('Invoice Master'!$H$2:$H$201,'Invoice Master'!$B$2:$B$201,Supplier!A17,'Invoice Master'!$E$2:$E$201,B17)</f>
        <v>287000</v>
      </c>
      <c r="D17" s="2">
        <f>SUMIFS('Invoice Master'!$H$2:$H$201,'Invoice Master'!$B$2:$B$201,Supplier!A17,'Invoice Master'!$E$2:$E$201,Supplier!B17,'Invoice Master'!$U$2:$U$201,"Ok")</f>
        <v>287000</v>
      </c>
      <c r="E17" s="2">
        <f t="shared" si="0"/>
        <v>0</v>
      </c>
      <c r="F17" s="2" t="str">
        <f t="shared" si="1"/>
        <v>Matched</v>
      </c>
      <c r="G17" s="5" t="str">
        <f t="shared" si="2"/>
        <v>-</v>
      </c>
      <c r="H17" s="5" t="s">
        <v>30</v>
      </c>
      <c r="I17" s="5" t="s">
        <v>30</v>
      </c>
      <c r="J17" s="2"/>
    </row>
    <row r="18" spans="1:10" x14ac:dyDescent="0.35">
      <c r="A18" s="2" t="s">
        <v>32</v>
      </c>
      <c r="B18" s="3" t="s">
        <v>691</v>
      </c>
      <c r="C18" s="2">
        <f>SUMIFS('Invoice Master'!$H$2:$H$201,'Invoice Master'!$B$2:$B$201,Supplier!A18,'Invoice Master'!$E$2:$E$201,B18)</f>
        <v>510000</v>
      </c>
      <c r="D18" s="2">
        <f>SUMIFS('Invoice Master'!$H$2:$H$201,'Invoice Master'!$B$2:$B$201,Supplier!A18,'Invoice Master'!$E$2:$E$201,Supplier!B18,'Invoice Master'!$U$2:$U$201,"Ok")</f>
        <v>510000</v>
      </c>
      <c r="E18" s="2">
        <f t="shared" si="0"/>
        <v>0</v>
      </c>
      <c r="F18" s="2" t="str">
        <f t="shared" si="1"/>
        <v>Matched</v>
      </c>
      <c r="G18" s="5" t="str">
        <f t="shared" si="2"/>
        <v>-</v>
      </c>
      <c r="H18" s="5" t="s">
        <v>30</v>
      </c>
      <c r="I18" s="5" t="s">
        <v>30</v>
      </c>
      <c r="J18" s="2"/>
    </row>
    <row r="19" spans="1:10" x14ac:dyDescent="0.35">
      <c r="A19" s="2" t="s">
        <v>39</v>
      </c>
      <c r="B19" s="3" t="s">
        <v>691</v>
      </c>
      <c r="C19" s="2">
        <f>SUMIFS('Invoice Master'!$H$2:$H$201,'Invoice Master'!$B$2:$B$201,Supplier!A19,'Invoice Master'!$E$2:$E$201,B19)</f>
        <v>320000</v>
      </c>
      <c r="D19" s="2">
        <f>SUMIFS('Invoice Master'!$H$2:$H$201,'Invoice Master'!$B$2:$B$201,Supplier!A19,'Invoice Master'!$E$2:$E$201,Supplier!B19,'Invoice Master'!$U$2:$U$201,"Ok")</f>
        <v>320000</v>
      </c>
      <c r="E19" s="2">
        <f t="shared" si="0"/>
        <v>0</v>
      </c>
      <c r="F19" s="2" t="str">
        <f t="shared" si="1"/>
        <v>Matched</v>
      </c>
      <c r="G19" s="5" t="str">
        <f t="shared" si="2"/>
        <v>-</v>
      </c>
      <c r="H19" s="5" t="s">
        <v>30</v>
      </c>
      <c r="I19" s="5" t="s">
        <v>30</v>
      </c>
      <c r="J19" s="2"/>
    </row>
    <row r="20" spans="1:10" x14ac:dyDescent="0.35">
      <c r="A20" s="2" t="s">
        <v>47</v>
      </c>
      <c r="B20" s="3" t="s">
        <v>691</v>
      </c>
      <c r="C20" s="2">
        <f>SUMIFS('Invoice Master'!$H$2:$H$201,'Invoice Master'!$B$2:$B$201,Supplier!A20,'Invoice Master'!$E$2:$E$201,B20)</f>
        <v>515000</v>
      </c>
      <c r="D20" s="2">
        <f>SUMIFS('Invoice Master'!$H$2:$H$201,'Invoice Master'!$B$2:$B$201,Supplier!A20,'Invoice Master'!$E$2:$E$201,Supplier!B20,'Invoice Master'!$U$2:$U$201,"Ok")</f>
        <v>515000</v>
      </c>
      <c r="E20" s="2">
        <f t="shared" si="0"/>
        <v>0</v>
      </c>
      <c r="F20" s="2" t="str">
        <f t="shared" si="1"/>
        <v>Matched</v>
      </c>
      <c r="G20" s="5" t="str">
        <f t="shared" si="2"/>
        <v>-</v>
      </c>
      <c r="H20" s="5" t="s">
        <v>30</v>
      </c>
      <c r="I20" s="5" t="s">
        <v>30</v>
      </c>
      <c r="J20" s="2"/>
    </row>
    <row r="21" spans="1:10" x14ac:dyDescent="0.35">
      <c r="A21" s="2" t="s">
        <v>54</v>
      </c>
      <c r="B21" s="3" t="s">
        <v>691</v>
      </c>
      <c r="C21" s="2">
        <f>SUMIFS('Invoice Master'!$H$2:$H$201,'Invoice Master'!$B$2:$B$201,Supplier!A21,'Invoice Master'!$E$2:$E$201,B21)</f>
        <v>930000</v>
      </c>
      <c r="D21" s="2">
        <f>SUMIFS('Invoice Master'!$H$2:$H$201,'Invoice Master'!$B$2:$B$201,Supplier!A21,'Invoice Master'!$E$2:$E$201,Supplier!B21,'Invoice Master'!$U$2:$U$201,"Ok")</f>
        <v>930000</v>
      </c>
      <c r="E21" s="2">
        <f t="shared" si="0"/>
        <v>0</v>
      </c>
      <c r="F21" s="2" t="str">
        <f t="shared" si="1"/>
        <v>Matched</v>
      </c>
      <c r="G21" s="5" t="str">
        <f t="shared" si="2"/>
        <v>-</v>
      </c>
      <c r="H21" s="5" t="s">
        <v>30</v>
      </c>
      <c r="I21" s="5" t="s">
        <v>30</v>
      </c>
      <c r="J21" s="2"/>
    </row>
    <row r="22" spans="1:10" x14ac:dyDescent="0.35">
      <c r="A22" s="2" t="s">
        <v>20</v>
      </c>
      <c r="B22" s="3" t="s">
        <v>692</v>
      </c>
      <c r="C22" s="2">
        <f>SUMIFS('Invoice Master'!$H$2:$H$201,'Invoice Master'!$B$2:$B$201,Supplier!A22,'Invoice Master'!$E$2:$E$201,B22)</f>
        <v>157000</v>
      </c>
      <c r="D22" s="2">
        <f>SUMIFS('Invoice Master'!$H$2:$H$201,'Invoice Master'!$B$2:$B$201,Supplier!A22,'Invoice Master'!$E$2:$E$201,Supplier!B22,'Invoice Master'!$U$2:$U$201,"Ok")</f>
        <v>157000</v>
      </c>
      <c r="E22" s="2">
        <f t="shared" si="0"/>
        <v>0</v>
      </c>
      <c r="F22" s="2" t="str">
        <f t="shared" si="1"/>
        <v>Matched</v>
      </c>
      <c r="G22" s="5" t="str">
        <f t="shared" si="2"/>
        <v>-</v>
      </c>
      <c r="H22" s="5" t="s">
        <v>30</v>
      </c>
      <c r="I22" s="5" t="s">
        <v>30</v>
      </c>
      <c r="J22" s="2"/>
    </row>
    <row r="23" spans="1:10" x14ac:dyDescent="0.35">
      <c r="A23" s="2" t="s">
        <v>32</v>
      </c>
      <c r="B23" s="3" t="s">
        <v>692</v>
      </c>
      <c r="C23" s="2">
        <f>SUMIFS('Invoice Master'!$H$2:$H$201,'Invoice Master'!$B$2:$B$201,Supplier!A23,'Invoice Master'!$E$2:$E$201,B23)</f>
        <v>324000</v>
      </c>
      <c r="D23" s="2">
        <f>SUMIFS('Invoice Master'!$H$2:$H$201,'Invoice Master'!$B$2:$B$201,Supplier!A23,'Invoice Master'!$E$2:$E$201,Supplier!B23,'Invoice Master'!$U$2:$U$201,"Ok")</f>
        <v>324000</v>
      </c>
      <c r="E23" s="2">
        <f t="shared" si="0"/>
        <v>0</v>
      </c>
      <c r="F23" s="2" t="str">
        <f t="shared" si="1"/>
        <v>Matched</v>
      </c>
      <c r="G23" s="5" t="str">
        <f t="shared" si="2"/>
        <v>-</v>
      </c>
      <c r="H23" s="5" t="s">
        <v>30</v>
      </c>
      <c r="I23" s="5" t="s">
        <v>30</v>
      </c>
      <c r="J23" s="2"/>
    </row>
    <row r="24" spans="1:10" x14ac:dyDescent="0.35">
      <c r="A24" s="2" t="s">
        <v>39</v>
      </c>
      <c r="B24" s="3" t="s">
        <v>692</v>
      </c>
      <c r="C24" s="2">
        <f>SUMIFS('Invoice Master'!$H$2:$H$201,'Invoice Master'!$B$2:$B$201,Supplier!A24,'Invoice Master'!$E$2:$E$201,B24)</f>
        <v>286000</v>
      </c>
      <c r="D24" s="2">
        <f>SUMIFS('Invoice Master'!$H$2:$H$201,'Invoice Master'!$B$2:$B$201,Supplier!A24,'Invoice Master'!$E$2:$E$201,Supplier!B24,'Invoice Master'!$U$2:$U$201,"Ok")</f>
        <v>286000</v>
      </c>
      <c r="E24" s="2">
        <f t="shared" si="0"/>
        <v>0</v>
      </c>
      <c r="F24" s="2" t="str">
        <f t="shared" si="1"/>
        <v>Matched</v>
      </c>
      <c r="G24" s="5" t="str">
        <f t="shared" si="2"/>
        <v>-</v>
      </c>
      <c r="H24" s="5" t="s">
        <v>30</v>
      </c>
      <c r="I24" s="5" t="s">
        <v>30</v>
      </c>
      <c r="J24" s="2"/>
    </row>
    <row r="25" spans="1:10" x14ac:dyDescent="0.35">
      <c r="A25" s="2" t="s">
        <v>47</v>
      </c>
      <c r="B25" s="3" t="s">
        <v>692</v>
      </c>
      <c r="C25" s="2">
        <f>SUMIFS('Invoice Master'!$H$2:$H$201,'Invoice Master'!$B$2:$B$201,Supplier!A25,'Invoice Master'!$E$2:$E$201,B25)</f>
        <v>408000</v>
      </c>
      <c r="D25" s="2">
        <f>SUMIFS('Invoice Master'!$H$2:$H$201,'Invoice Master'!$B$2:$B$201,Supplier!A25,'Invoice Master'!$E$2:$E$201,Supplier!B25,'Invoice Master'!$U$2:$U$201,"Ok")</f>
        <v>408000</v>
      </c>
      <c r="E25" s="2">
        <f t="shared" si="0"/>
        <v>0</v>
      </c>
      <c r="F25" s="2" t="str">
        <f t="shared" si="1"/>
        <v>Matched</v>
      </c>
      <c r="G25" s="5" t="str">
        <f t="shared" si="2"/>
        <v>-</v>
      </c>
      <c r="H25" s="5" t="s">
        <v>30</v>
      </c>
      <c r="I25" s="5" t="s">
        <v>30</v>
      </c>
      <c r="J25" s="2"/>
    </row>
    <row r="26" spans="1:10" x14ac:dyDescent="0.35">
      <c r="A26" s="2" t="s">
        <v>54</v>
      </c>
      <c r="B26" s="3" t="s">
        <v>692</v>
      </c>
      <c r="C26" s="2">
        <f>SUMIFS('Invoice Master'!$H$2:$H$201,'Invoice Master'!$B$2:$B$201,Supplier!A26,'Invoice Master'!$E$2:$E$201,B26)</f>
        <v>743000</v>
      </c>
      <c r="D26" s="2">
        <f>SUMIFS('Invoice Master'!$H$2:$H$201,'Invoice Master'!$B$2:$B$201,Supplier!A26,'Invoice Master'!$E$2:$E$201,Supplier!B26,'Invoice Master'!$U$2:$U$201,"Ok")</f>
        <v>743000</v>
      </c>
      <c r="E26" s="2">
        <f t="shared" si="0"/>
        <v>0</v>
      </c>
      <c r="F26" s="2" t="str">
        <f t="shared" si="1"/>
        <v>Matched</v>
      </c>
      <c r="G26" s="5" t="str">
        <f t="shared" si="2"/>
        <v>-</v>
      </c>
      <c r="H26" s="5" t="s">
        <v>30</v>
      </c>
      <c r="I26" s="5" t="s">
        <v>30</v>
      </c>
      <c r="J26" s="2"/>
    </row>
    <row r="27" spans="1:10" x14ac:dyDescent="0.35">
      <c r="A27" s="2" t="s">
        <v>20</v>
      </c>
      <c r="B27" s="3" t="s">
        <v>693</v>
      </c>
      <c r="C27" s="2">
        <f>SUMIFS('Invoice Master'!$H$2:$H$201,'Invoice Master'!$B$2:$B$201,Supplier!A27,'Invoice Master'!$E$2:$E$201,B27)</f>
        <v>214000</v>
      </c>
      <c r="D27" s="2">
        <f>SUMIFS('Invoice Master'!$H$2:$H$201,'Invoice Master'!$B$2:$B$201,Supplier!A27,'Invoice Master'!$E$2:$E$201,Supplier!B27,'Invoice Master'!$U$2:$U$201,"Ok")</f>
        <v>214000</v>
      </c>
      <c r="E27" s="2">
        <f t="shared" si="0"/>
        <v>0</v>
      </c>
      <c r="F27" s="2" t="str">
        <f t="shared" si="1"/>
        <v>Matched</v>
      </c>
      <c r="G27" s="5" t="str">
        <f t="shared" si="2"/>
        <v>-</v>
      </c>
      <c r="H27" s="5" t="s">
        <v>30</v>
      </c>
      <c r="I27" s="5" t="s">
        <v>30</v>
      </c>
      <c r="J27" s="2"/>
    </row>
    <row r="28" spans="1:10" x14ac:dyDescent="0.35">
      <c r="A28" s="2" t="s">
        <v>32</v>
      </c>
      <c r="B28" s="3" t="s">
        <v>693</v>
      </c>
      <c r="C28" s="2">
        <f>SUMIFS('Invoice Master'!$H$2:$H$201,'Invoice Master'!$B$2:$B$201,Supplier!A28,'Invoice Master'!$E$2:$E$201,B28)</f>
        <v>548000</v>
      </c>
      <c r="D28" s="2">
        <f>SUMIFS('Invoice Master'!$H$2:$H$201,'Invoice Master'!$B$2:$B$201,Supplier!A28,'Invoice Master'!$E$2:$E$201,Supplier!B28,'Invoice Master'!$U$2:$U$201,"Ok")</f>
        <v>548000</v>
      </c>
      <c r="E28" s="2">
        <f t="shared" si="0"/>
        <v>0</v>
      </c>
      <c r="F28" s="2" t="str">
        <f t="shared" si="1"/>
        <v>Matched</v>
      </c>
      <c r="G28" s="5" t="str">
        <f t="shared" si="2"/>
        <v>-</v>
      </c>
      <c r="H28" s="5" t="s">
        <v>30</v>
      </c>
      <c r="I28" s="5" t="s">
        <v>30</v>
      </c>
      <c r="J28" s="2"/>
    </row>
    <row r="29" spans="1:10" x14ac:dyDescent="0.35">
      <c r="A29" s="2" t="s">
        <v>39</v>
      </c>
      <c r="B29" s="3" t="s">
        <v>693</v>
      </c>
      <c r="C29" s="2">
        <f>SUMIFS('Invoice Master'!$H$2:$H$201,'Invoice Master'!$B$2:$B$201,Supplier!A29,'Invoice Master'!$E$2:$E$201,B29)</f>
        <v>327000</v>
      </c>
      <c r="D29" s="2">
        <f>SUMIFS('Invoice Master'!$H$2:$H$201,'Invoice Master'!$B$2:$B$201,Supplier!A29,'Invoice Master'!$E$2:$E$201,Supplier!B29,'Invoice Master'!$U$2:$U$201,"Ok")</f>
        <v>327000</v>
      </c>
      <c r="E29" s="2">
        <f t="shared" si="0"/>
        <v>0</v>
      </c>
      <c r="F29" s="2" t="str">
        <f t="shared" si="1"/>
        <v>Matched</v>
      </c>
      <c r="G29" s="5" t="str">
        <f t="shared" si="2"/>
        <v>-</v>
      </c>
      <c r="H29" s="5" t="s">
        <v>30</v>
      </c>
      <c r="I29" s="5" t="s">
        <v>30</v>
      </c>
      <c r="J29" s="2"/>
    </row>
    <row r="30" spans="1:10" x14ac:dyDescent="0.35">
      <c r="A30" s="2" t="s">
        <v>47</v>
      </c>
      <c r="B30" s="3" t="s">
        <v>693</v>
      </c>
      <c r="C30" s="2">
        <f>SUMIFS('Invoice Master'!$H$2:$H$201,'Invoice Master'!$B$2:$B$201,Supplier!A30,'Invoice Master'!$E$2:$E$201,B30)</f>
        <v>502000</v>
      </c>
      <c r="D30" s="2">
        <f>SUMIFS('Invoice Master'!$H$2:$H$201,'Invoice Master'!$B$2:$B$201,Supplier!A30,'Invoice Master'!$E$2:$E$201,Supplier!B30,'Invoice Master'!$U$2:$U$201,"Ok")</f>
        <v>502000</v>
      </c>
      <c r="E30" s="2">
        <f t="shared" si="0"/>
        <v>0</v>
      </c>
      <c r="F30" s="2" t="str">
        <f t="shared" si="1"/>
        <v>Matched</v>
      </c>
      <c r="G30" s="5" t="str">
        <f t="shared" si="2"/>
        <v>-</v>
      </c>
      <c r="H30" s="5" t="s">
        <v>30</v>
      </c>
      <c r="I30" s="5" t="s">
        <v>30</v>
      </c>
      <c r="J30" s="2"/>
    </row>
    <row r="31" spans="1:10" x14ac:dyDescent="0.35">
      <c r="A31" s="2" t="s">
        <v>54</v>
      </c>
      <c r="B31" s="3" t="s">
        <v>693</v>
      </c>
      <c r="C31" s="2">
        <f>SUMIFS('Invoice Master'!$H$2:$H$201,'Invoice Master'!$B$2:$B$201,Supplier!A31,'Invoice Master'!$E$2:$E$201,B31)</f>
        <v>904000</v>
      </c>
      <c r="D31" s="2">
        <f>SUMIFS('Invoice Master'!$H$2:$H$201,'Invoice Master'!$B$2:$B$201,Supplier!A31,'Invoice Master'!$E$2:$E$201,Supplier!B31,'Invoice Master'!$U$2:$U$201,"Ok")</f>
        <v>904000</v>
      </c>
      <c r="E31" s="2">
        <f t="shared" si="0"/>
        <v>0</v>
      </c>
      <c r="F31" s="2" t="str">
        <f t="shared" si="1"/>
        <v>Matched</v>
      </c>
      <c r="G31" s="5" t="str">
        <f t="shared" si="2"/>
        <v>-</v>
      </c>
      <c r="H31" s="5" t="s">
        <v>30</v>
      </c>
      <c r="I31" s="5" t="s">
        <v>30</v>
      </c>
      <c r="J31" s="2"/>
    </row>
    <row r="32" spans="1:10" x14ac:dyDescent="0.35">
      <c r="A32" s="2" t="s">
        <v>20</v>
      </c>
      <c r="B32" s="3" t="s">
        <v>694</v>
      </c>
      <c r="C32" s="2">
        <f>SUMIFS('Invoice Master'!$H$2:$H$201,'Invoice Master'!$B$2:$B$201,Supplier!A32,'Invoice Master'!$E$2:$E$201,B32)</f>
        <v>39000</v>
      </c>
      <c r="D32" s="2">
        <f>SUMIFS('Invoice Master'!$H$2:$H$201,'Invoice Master'!$B$2:$B$201,Supplier!A32,'Invoice Master'!$E$2:$E$201,Supplier!B32,'Invoice Master'!$U$2:$U$201,"Ok")</f>
        <v>39000</v>
      </c>
      <c r="E32" s="2">
        <f t="shared" si="0"/>
        <v>0</v>
      </c>
      <c r="F32" s="2" t="str">
        <f t="shared" si="1"/>
        <v>Matched</v>
      </c>
      <c r="G32" s="5" t="str">
        <f t="shared" si="2"/>
        <v>-</v>
      </c>
      <c r="H32" s="5" t="s">
        <v>30</v>
      </c>
      <c r="I32" s="5" t="s">
        <v>30</v>
      </c>
      <c r="J32" s="2"/>
    </row>
    <row r="33" spans="1:10" x14ac:dyDescent="0.35">
      <c r="A33" s="2" t="s">
        <v>32</v>
      </c>
      <c r="B33" s="3" t="s">
        <v>694</v>
      </c>
      <c r="C33" s="2">
        <f>SUMIFS('Invoice Master'!$H$2:$H$201,'Invoice Master'!$B$2:$B$201,Supplier!A33,'Invoice Master'!$E$2:$E$201,B33)</f>
        <v>182000</v>
      </c>
      <c r="D33" s="2">
        <f>SUMIFS('Invoice Master'!$H$2:$H$201,'Invoice Master'!$B$2:$B$201,Supplier!A33,'Invoice Master'!$E$2:$E$201,Supplier!B33,'Invoice Master'!$U$2:$U$201,"Ok")</f>
        <v>182000</v>
      </c>
      <c r="E33" s="2">
        <f t="shared" si="0"/>
        <v>0</v>
      </c>
      <c r="F33" s="2" t="str">
        <f t="shared" si="1"/>
        <v>Matched</v>
      </c>
      <c r="G33" s="5" t="str">
        <f t="shared" si="2"/>
        <v>-</v>
      </c>
      <c r="H33" s="5" t="s">
        <v>30</v>
      </c>
      <c r="I33" s="5" t="s">
        <v>30</v>
      </c>
      <c r="J33" s="2"/>
    </row>
    <row r="34" spans="1:10" x14ac:dyDescent="0.35">
      <c r="A34" s="2" t="s">
        <v>39</v>
      </c>
      <c r="B34" s="3" t="s">
        <v>694</v>
      </c>
      <c r="C34" s="2">
        <f>SUMIFS('Invoice Master'!$H$2:$H$201,'Invoice Master'!$B$2:$B$201,Supplier!A34,'Invoice Master'!$E$2:$E$201,B34)</f>
        <v>120000</v>
      </c>
      <c r="D34" s="2">
        <f>SUMIFS('Invoice Master'!$H$2:$H$201,'Invoice Master'!$B$2:$B$201,Supplier!A34,'Invoice Master'!$E$2:$E$201,Supplier!B34,'Invoice Master'!$U$2:$U$201,"Ok")</f>
        <v>120000</v>
      </c>
      <c r="E34" s="2">
        <f t="shared" si="0"/>
        <v>0</v>
      </c>
      <c r="F34" s="2" t="str">
        <f t="shared" si="1"/>
        <v>Matched</v>
      </c>
      <c r="G34" s="5" t="str">
        <f t="shared" si="2"/>
        <v>-</v>
      </c>
      <c r="H34" s="5" t="s">
        <v>30</v>
      </c>
      <c r="I34" s="5" t="s">
        <v>30</v>
      </c>
      <c r="J34" s="2"/>
    </row>
    <row r="35" spans="1:10" x14ac:dyDescent="0.35">
      <c r="A35" s="2" t="s">
        <v>47</v>
      </c>
      <c r="B35" s="3" t="s">
        <v>694</v>
      </c>
      <c r="C35" s="2">
        <f>SUMIFS('Invoice Master'!$H$2:$H$201,'Invoice Master'!$B$2:$B$201,Supplier!A35,'Invoice Master'!$E$2:$E$201,B35)</f>
        <v>163000</v>
      </c>
      <c r="D35" s="2">
        <f>SUMIFS('Invoice Master'!$H$2:$H$201,'Invoice Master'!$B$2:$B$201,Supplier!A35,'Invoice Master'!$E$2:$E$201,Supplier!B35,'Invoice Master'!$U$2:$U$201,"Ok")</f>
        <v>163000</v>
      </c>
      <c r="E35" s="2">
        <f t="shared" si="0"/>
        <v>0</v>
      </c>
      <c r="F35" s="2" t="str">
        <f t="shared" si="1"/>
        <v>Matched</v>
      </c>
      <c r="G35" s="5" t="str">
        <f t="shared" si="2"/>
        <v>-</v>
      </c>
      <c r="H35" s="5" t="s">
        <v>30</v>
      </c>
      <c r="I35" s="5" t="s">
        <v>30</v>
      </c>
      <c r="J35" s="2"/>
    </row>
    <row r="36" spans="1:10" x14ac:dyDescent="0.35">
      <c r="A36" s="2" t="s">
        <v>54</v>
      </c>
      <c r="B36" s="3" t="s">
        <v>694</v>
      </c>
      <c r="C36" s="2">
        <f>SUMIFS('Invoice Master'!$H$2:$H$201,'Invoice Master'!$B$2:$B$201,Supplier!A36,'Invoice Master'!$E$2:$E$201,B36)</f>
        <v>324000</v>
      </c>
      <c r="D36" s="2">
        <f>SUMIFS('Invoice Master'!$H$2:$H$201,'Invoice Master'!$B$2:$B$201,Supplier!A36,'Invoice Master'!$E$2:$E$201,Supplier!B36,'Invoice Master'!$U$2:$U$201,"Ok")</f>
        <v>324000</v>
      </c>
      <c r="E36" s="2">
        <f t="shared" si="0"/>
        <v>0</v>
      </c>
      <c r="F36" s="2" t="str">
        <f t="shared" si="1"/>
        <v>Matched</v>
      </c>
      <c r="G36" s="5" t="str">
        <f t="shared" si="2"/>
        <v>-</v>
      </c>
      <c r="H36" s="5" t="s">
        <v>30</v>
      </c>
      <c r="I36" s="5" t="s">
        <v>30</v>
      </c>
      <c r="J36" s="2"/>
    </row>
  </sheetData>
  <conditionalFormatting sqref="F2:F36">
    <cfRule type="cellIs" dxfId="32" priority="1" operator="equal">
      <formula>"Unmatched"</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51E5E-CF05-495A-9D71-76E781206091}">
  <dimension ref="A1:D15"/>
  <sheetViews>
    <sheetView zoomScale="130" workbookViewId="0">
      <selection activeCell="B10" sqref="B10"/>
    </sheetView>
  </sheetViews>
  <sheetFormatPr defaultRowHeight="14.5" x14ac:dyDescent="0.35"/>
  <cols>
    <col min="1" max="1" width="20.08984375" bestFit="1" customWidth="1"/>
    <col min="2" max="2" width="15.26953125" bestFit="1" customWidth="1"/>
    <col min="3" max="3" width="10.81640625" bestFit="1" customWidth="1"/>
    <col min="4" max="4" width="15.81640625" bestFit="1" customWidth="1"/>
  </cols>
  <sheetData>
    <row r="1" spans="1:4" x14ac:dyDescent="0.35">
      <c r="A1" s="6" t="s">
        <v>645</v>
      </c>
      <c r="B1" s="6" t="s">
        <v>646</v>
      </c>
      <c r="C1" s="6" t="s">
        <v>647</v>
      </c>
      <c r="D1" s="6" t="s">
        <v>648</v>
      </c>
    </row>
    <row r="2" spans="1:4" x14ac:dyDescent="0.35">
      <c r="A2" s="2" t="s">
        <v>649</v>
      </c>
      <c r="B2" s="5">
        <f>COUNTA('Invoice Master'!A2:A201)</f>
        <v>200</v>
      </c>
      <c r="C2" s="5" t="s">
        <v>30</v>
      </c>
      <c r="D2" s="2" t="str">
        <f>IF(B2&gt;=200,"✓ On Track","✗ Monitor")</f>
        <v>✓ On Track</v>
      </c>
    </row>
    <row r="3" spans="1:4" x14ac:dyDescent="0.35">
      <c r="A3" s="2" t="s">
        <v>699</v>
      </c>
      <c r="B3" s="14">
        <f>COUNTIF('Invoice Master'!$N$2:$N$201,"Approved")/B2</f>
        <v>0.82499999999999996</v>
      </c>
      <c r="C3" s="14">
        <v>1</v>
      </c>
      <c r="D3" s="2" t="str">
        <f>IF(B3&gt;=100,"✓ On Track","✗ Action Needed")</f>
        <v>✗ Action Needed</v>
      </c>
    </row>
    <row r="4" spans="1:4" x14ac:dyDescent="0.35">
      <c r="A4" s="2" t="s">
        <v>108</v>
      </c>
      <c r="B4" s="5">
        <f>COUNTIF('Invoice Master'!$N$2:$N$201,A4)</f>
        <v>9</v>
      </c>
      <c r="C4" s="5">
        <v>0</v>
      </c>
      <c r="D4" s="2" t="str">
        <f>IF(B4=0,"✓ Clear","✗ Action Needed")</f>
        <v>✗ Action Needed</v>
      </c>
    </row>
    <row r="5" spans="1:4" x14ac:dyDescent="0.35">
      <c r="A5" s="2" t="s">
        <v>114</v>
      </c>
      <c r="B5" s="5">
        <f>COUNTIF('Invoice Master'!$N$2:$N$201,A5)</f>
        <v>26</v>
      </c>
      <c r="C5" s="5">
        <v>0</v>
      </c>
      <c r="D5" s="2" t="str">
        <f>IF(B5=0,"✓ Clear","✗ Action Needed")</f>
        <v>✗ Action Needed</v>
      </c>
    </row>
    <row r="6" spans="1:4" x14ac:dyDescent="0.35">
      <c r="A6" s="2" t="s">
        <v>696</v>
      </c>
      <c r="B6" s="5">
        <f>COUNTIFS('Invoice Master'!R2:R201,"-",'Invoice Master'!U2:U201,"ok")</f>
        <v>25</v>
      </c>
      <c r="C6" s="5">
        <v>0</v>
      </c>
      <c r="D6" s="2" t="str">
        <f>IF(B6=0,"✓ Clear","✗ Action Needed")</f>
        <v>✗ Action Needed</v>
      </c>
    </row>
    <row r="7" spans="1:4" x14ac:dyDescent="0.35">
      <c r="A7" s="2" t="s">
        <v>650</v>
      </c>
      <c r="B7" s="5">
        <f>COUNTIF('Invoice Master'!$T$2:$T$201,"Mismatched")</f>
        <v>9</v>
      </c>
      <c r="C7" s="5">
        <v>0</v>
      </c>
      <c r="D7" s="2" t="str">
        <f>IF(B7=0,"✓ Clear","✗ Investigate")</f>
        <v>✗ Investigate</v>
      </c>
    </row>
    <row r="8" spans="1:4" x14ac:dyDescent="0.35">
      <c r="A8" s="2" t="s">
        <v>651</v>
      </c>
      <c r="B8" s="5">
        <f>COUNTIF('Invoice Master'!$U$2:$U$201,"DUPLICATE")</f>
        <v>10</v>
      </c>
      <c r="C8" s="5">
        <v>0</v>
      </c>
      <c r="D8" s="2" t="str">
        <f>IF(B8=0,"✓ Clear","✗ Block Payment")</f>
        <v>✗ Block Payment</v>
      </c>
    </row>
    <row r="9" spans="1:4" x14ac:dyDescent="0.35">
      <c r="A9" s="2" t="s">
        <v>16</v>
      </c>
      <c r="B9" s="16">
        <f>COUNTIF('Invoice Master'!$S$2:$S$201,"Yes")/B2</f>
        <v>0.78500000000000003</v>
      </c>
      <c r="C9" s="14">
        <v>0.95</v>
      </c>
      <c r="D9" s="2" t="str">
        <f>IF(B9=B2,"✓ 100% TAT","✗ Escalate")</f>
        <v>✗ Escalate</v>
      </c>
    </row>
    <row r="10" spans="1:4" x14ac:dyDescent="0.35">
      <c r="A10" s="2" t="s">
        <v>652</v>
      </c>
      <c r="B10" s="5">
        <f>COUNTIF('Invoice Master'!$S$2:$S$201,"No")</f>
        <v>8</v>
      </c>
      <c r="C10" s="5">
        <v>0</v>
      </c>
      <c r="D10" s="2" t="str">
        <f>IF(B10=0,"✓ Clear","✗ Escalate")</f>
        <v>✗ Escalate</v>
      </c>
    </row>
    <row r="11" spans="1:4" x14ac:dyDescent="0.35">
      <c r="A11" s="2" t="s">
        <v>697</v>
      </c>
      <c r="B11" s="15" t="str">
        <f>ROUND(AVERAGE('Invoice Master'!R2:R201),1)&amp;" Days"</f>
        <v>6.9 Days</v>
      </c>
      <c r="C11" s="5">
        <v>7</v>
      </c>
      <c r="D11" s="2" t="str">
        <f>IF(AVERAGE('Invoice Master'!R2:R201)&lt;7,"✓ On Track","✗ Action Needed")</f>
        <v>✓ On Track</v>
      </c>
    </row>
    <row r="12" spans="1:4" x14ac:dyDescent="0.35">
      <c r="A12" s="2" t="s">
        <v>653</v>
      </c>
      <c r="B12" s="17">
        <f>SUMIF('Invoice Master'!$N$2:$N$201,"Approved",'Invoice Master'!$H$2:$H$201)</f>
        <v>13349000</v>
      </c>
      <c r="C12" s="14" t="s">
        <v>30</v>
      </c>
      <c r="D12" s="2" t="str">
        <f>IF(B12&gt;0,"✓ Tracked","-")</f>
        <v>✓ Tracked</v>
      </c>
    </row>
    <row r="13" spans="1:4" x14ac:dyDescent="0.35">
      <c r="A13" s="2" t="s">
        <v>654</v>
      </c>
      <c r="B13" s="5">
        <f>COUNTIF('Invoice Master'!K:K,"Credit Note")</f>
        <v>9</v>
      </c>
      <c r="C13" s="5" t="s">
        <v>30</v>
      </c>
      <c r="D13" s="2" t="str">
        <f>IF(B13&gt;0,"✓ Tracked","-")</f>
        <v>✓ Tracked</v>
      </c>
    </row>
    <row r="14" spans="1:4" x14ac:dyDescent="0.35">
      <c r="C14" s="10"/>
    </row>
    <row r="15" spans="1:4" x14ac:dyDescent="0.35">
      <c r="C15" s="10"/>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60FC67E4-9A1E-4389-B474-2C85F8B87B19}">
            <xm:f>NOT(ISERROR(SEARCH("✗",D2)))</xm:f>
            <xm:f>"✗"</xm:f>
            <x14:dxf>
              <font>
                <b/>
                <i val="0"/>
                <color theme="0"/>
              </font>
              <fill>
                <patternFill>
                  <bgColor rgb="FFC00000"/>
                </patternFill>
              </fill>
            </x14:dxf>
          </x14:cfRule>
          <x14:cfRule type="containsText" priority="2" operator="containsText" id="{0D47F1DC-D7DB-4CA3-AD2D-D139076567B9}">
            <xm:f>NOT(ISERROR(SEARCH("✓",D2)))</xm:f>
            <xm:f>"✓"</xm:f>
            <x14:dxf>
              <font>
                <b/>
                <i val="0"/>
                <color theme="0"/>
              </font>
              <fill>
                <patternFill patternType="solid">
                  <bgColor theme="9" tint="-0.499984740745262"/>
                </patternFill>
              </fill>
            </x14:dxf>
          </x14:cfRule>
          <xm:sqref>D2:D13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4DA9B-C788-466D-9D5F-5539392CD228}">
  <dimension ref="A2:I23"/>
  <sheetViews>
    <sheetView showGridLines="0" workbookViewId="0">
      <selection activeCell="H2" sqref="H2:I2"/>
    </sheetView>
  </sheetViews>
  <sheetFormatPr defaultRowHeight="14.5" x14ac:dyDescent="0.35"/>
  <cols>
    <col min="1" max="1" width="13.54296875" bestFit="1" customWidth="1"/>
    <col min="2" max="2" width="11.08984375" bestFit="1" customWidth="1"/>
    <col min="3" max="3" width="3.453125" customWidth="1"/>
    <col min="4" max="4" width="8.81640625" bestFit="1" customWidth="1"/>
    <col min="5" max="6" width="12.26953125" bestFit="1" customWidth="1"/>
    <col min="7" max="7" width="3" customWidth="1"/>
    <col min="8" max="8" width="13.54296875" bestFit="1" customWidth="1"/>
    <col min="9" max="9" width="12.26953125" bestFit="1" customWidth="1"/>
    <col min="10" max="10" width="3.1796875" bestFit="1" customWidth="1"/>
    <col min="11" max="11" width="3.6328125" bestFit="1" customWidth="1"/>
    <col min="12" max="12" width="3" bestFit="1" customWidth="1"/>
    <col min="13" max="13" width="3.54296875" bestFit="1" customWidth="1"/>
    <col min="14" max="14" width="3.81640625" bestFit="1" customWidth="1"/>
    <col min="15" max="15" width="4.26953125" bestFit="1" customWidth="1"/>
  </cols>
  <sheetData>
    <row r="2" spans="1:9" x14ac:dyDescent="0.35">
      <c r="A2" s="28" t="s">
        <v>701</v>
      </c>
      <c r="B2" s="28"/>
      <c r="D2" s="28" t="s">
        <v>644</v>
      </c>
      <c r="E2" s="28"/>
      <c r="F2" s="28"/>
      <c r="H2" s="28" t="s">
        <v>648</v>
      </c>
      <c r="I2" s="28"/>
    </row>
    <row r="4" spans="1:9" x14ac:dyDescent="0.35">
      <c r="A4" s="29" t="s">
        <v>634</v>
      </c>
      <c r="B4" s="29" t="s">
        <v>687</v>
      </c>
      <c r="D4" s="29" t="s">
        <v>644</v>
      </c>
      <c r="E4" s="29" t="s">
        <v>695</v>
      </c>
      <c r="F4" s="29" t="s">
        <v>649</v>
      </c>
      <c r="H4" s="29" t="s">
        <v>12</v>
      </c>
      <c r="I4" s="29" t="s">
        <v>649</v>
      </c>
    </row>
    <row r="5" spans="1:9" x14ac:dyDescent="0.35">
      <c r="D5" s="8" t="s">
        <v>688</v>
      </c>
      <c r="E5" s="9">
        <v>2914000</v>
      </c>
      <c r="F5">
        <v>40</v>
      </c>
      <c r="H5" t="s">
        <v>108</v>
      </c>
      <c r="I5">
        <v>9</v>
      </c>
    </row>
    <row r="6" spans="1:9" x14ac:dyDescent="0.35">
      <c r="A6" s="29" t="s">
        <v>2</v>
      </c>
      <c r="B6" s="29" t="s">
        <v>700</v>
      </c>
      <c r="D6" s="8" t="s">
        <v>689</v>
      </c>
      <c r="E6" s="9">
        <v>2392000</v>
      </c>
      <c r="F6">
        <v>29</v>
      </c>
      <c r="H6" t="s">
        <v>114</v>
      </c>
      <c r="I6">
        <v>26</v>
      </c>
    </row>
    <row r="7" spans="1:9" x14ac:dyDescent="0.35">
      <c r="A7" t="s">
        <v>33</v>
      </c>
      <c r="B7" s="9">
        <v>70020.833333333328</v>
      </c>
      <c r="D7" s="8" t="s">
        <v>690</v>
      </c>
      <c r="E7" s="9">
        <v>2680000</v>
      </c>
      <c r="F7">
        <v>31</v>
      </c>
      <c r="H7" t="s">
        <v>29</v>
      </c>
      <c r="I7">
        <v>165</v>
      </c>
    </row>
    <row r="8" spans="1:9" x14ac:dyDescent="0.35">
      <c r="A8" t="s">
        <v>48</v>
      </c>
      <c r="B8" s="9">
        <v>73723.404255319154</v>
      </c>
      <c r="D8" s="8" t="s">
        <v>691</v>
      </c>
      <c r="E8" s="9">
        <v>2562000</v>
      </c>
      <c r="F8">
        <v>30</v>
      </c>
    </row>
    <row r="9" spans="1:9" x14ac:dyDescent="0.35">
      <c r="A9" t="s">
        <v>21</v>
      </c>
      <c r="B9" s="9">
        <v>85145.833333333328</v>
      </c>
      <c r="D9" s="8" t="s">
        <v>692</v>
      </c>
      <c r="E9" s="9">
        <v>1918000</v>
      </c>
      <c r="F9">
        <v>30</v>
      </c>
    </row>
    <row r="10" spans="1:9" x14ac:dyDescent="0.35">
      <c r="A10" t="s">
        <v>40</v>
      </c>
      <c r="B10" s="9">
        <v>89106.382978723399</v>
      </c>
      <c r="D10" s="8" t="s">
        <v>693</v>
      </c>
      <c r="E10" s="9">
        <v>2495000</v>
      </c>
      <c r="F10">
        <v>30</v>
      </c>
    </row>
    <row r="11" spans="1:9" x14ac:dyDescent="0.35">
      <c r="D11" s="8" t="s">
        <v>694</v>
      </c>
      <c r="E11" s="9">
        <v>828000</v>
      </c>
      <c r="F11">
        <v>10</v>
      </c>
    </row>
    <row r="12" spans="1:9" x14ac:dyDescent="0.35">
      <c r="D12" s="8"/>
      <c r="E12" s="9"/>
    </row>
    <row r="13" spans="1:9" x14ac:dyDescent="0.35">
      <c r="A13" s="29" t="s">
        <v>634</v>
      </c>
      <c r="B13" s="29" t="s">
        <v>687</v>
      </c>
      <c r="D13" s="29" t="s">
        <v>634</v>
      </c>
      <c r="E13" s="29" t="s">
        <v>687</v>
      </c>
    </row>
    <row r="14" spans="1:9" x14ac:dyDescent="0.35">
      <c r="D14" s="29" t="s">
        <v>14</v>
      </c>
      <c r="E14" s="29" t="s">
        <v>30</v>
      </c>
    </row>
    <row r="15" spans="1:9" x14ac:dyDescent="0.35">
      <c r="A15" s="29" t="s">
        <v>1</v>
      </c>
      <c r="B15" s="29" t="s">
        <v>695</v>
      </c>
    </row>
    <row r="16" spans="1:9" x14ac:dyDescent="0.35">
      <c r="A16" t="s">
        <v>54</v>
      </c>
      <c r="B16" s="9">
        <v>5395000</v>
      </c>
      <c r="D16" s="29" t="s">
        <v>644</v>
      </c>
      <c r="E16" s="29" t="s">
        <v>649</v>
      </c>
    </row>
    <row r="17" spans="1:5" x14ac:dyDescent="0.35">
      <c r="A17" t="s">
        <v>32</v>
      </c>
      <c r="B17" s="9">
        <v>3271000</v>
      </c>
      <c r="D17" s="8" t="s">
        <v>688</v>
      </c>
      <c r="E17">
        <v>5</v>
      </c>
    </row>
    <row r="18" spans="1:5" x14ac:dyDescent="0.35">
      <c r="A18" t="s">
        <v>47</v>
      </c>
      <c r="B18" s="9">
        <v>2812000</v>
      </c>
      <c r="D18" s="8" t="s">
        <v>689</v>
      </c>
      <c r="E18">
        <v>2</v>
      </c>
    </row>
    <row r="19" spans="1:5" x14ac:dyDescent="0.35">
      <c r="A19" t="s">
        <v>39</v>
      </c>
      <c r="B19" s="9">
        <v>2134000</v>
      </c>
      <c r="D19" s="8" t="s">
        <v>690</v>
      </c>
      <c r="E19">
        <v>9</v>
      </c>
    </row>
    <row r="20" spans="1:5" x14ac:dyDescent="0.35">
      <c r="A20" t="s">
        <v>20</v>
      </c>
      <c r="B20" s="9">
        <v>1489000</v>
      </c>
      <c r="D20" s="8" t="s">
        <v>691</v>
      </c>
      <c r="E20">
        <v>2</v>
      </c>
    </row>
    <row r="21" spans="1:5" x14ac:dyDescent="0.35">
      <c r="D21" s="8" t="s">
        <v>692</v>
      </c>
      <c r="E21">
        <v>2</v>
      </c>
    </row>
    <row r="22" spans="1:5" x14ac:dyDescent="0.35">
      <c r="D22" s="8" t="s">
        <v>693</v>
      </c>
      <c r="E22">
        <v>3</v>
      </c>
    </row>
    <row r="23" spans="1:5" x14ac:dyDescent="0.35">
      <c r="D23" s="8" t="s">
        <v>694</v>
      </c>
      <c r="E23">
        <v>2</v>
      </c>
    </row>
  </sheetData>
  <mergeCells count="3">
    <mergeCell ref="D2:F2"/>
    <mergeCell ref="H2:I2"/>
    <mergeCell ref="A2:B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A8EDC-C4E0-4756-85A2-D345A81B6AB6}">
  <dimension ref="B1:M22"/>
  <sheetViews>
    <sheetView showGridLines="0" topLeftCell="A23" zoomScale="55" workbookViewId="0">
      <selection activeCell="Q38" sqref="Q38"/>
    </sheetView>
  </sheetViews>
  <sheetFormatPr defaultRowHeight="14.5" x14ac:dyDescent="0.35"/>
  <cols>
    <col min="1" max="1" width="2.26953125" customWidth="1"/>
    <col min="2" max="2" width="49.7265625" customWidth="1"/>
    <col min="3" max="3" width="9.26953125" bestFit="1" customWidth="1"/>
    <col min="4" max="4" width="17.1796875" bestFit="1" customWidth="1"/>
    <col min="5" max="5" width="36.26953125" bestFit="1" customWidth="1"/>
  </cols>
  <sheetData>
    <row r="1" spans="2:13" x14ac:dyDescent="0.35">
      <c r="B1" s="25" t="s">
        <v>655</v>
      </c>
      <c r="C1" s="26"/>
      <c r="D1" s="26"/>
      <c r="E1" s="26"/>
      <c r="F1" s="26"/>
      <c r="G1" s="26"/>
      <c r="H1" s="26"/>
      <c r="I1" s="26"/>
      <c r="J1" s="26"/>
      <c r="K1" s="26"/>
      <c r="L1" s="26"/>
      <c r="M1" s="26"/>
    </row>
    <row r="2" spans="2:13" x14ac:dyDescent="0.35">
      <c r="B2" s="25"/>
      <c r="C2" s="26"/>
      <c r="D2" s="26"/>
      <c r="E2" s="26"/>
      <c r="F2" s="26"/>
      <c r="G2" s="26"/>
      <c r="H2" s="26"/>
      <c r="I2" s="26"/>
      <c r="J2" s="26"/>
      <c r="K2" s="26"/>
      <c r="L2" s="26"/>
      <c r="M2" s="26"/>
    </row>
    <row r="3" spans="2:13" s="13" customFormat="1" ht="21" x14ac:dyDescent="0.5">
      <c r="B3" s="11"/>
      <c r="C3" s="12"/>
      <c r="D3" s="12"/>
      <c r="E3" s="12"/>
      <c r="F3" s="12"/>
      <c r="G3" s="12"/>
      <c r="H3" s="12"/>
      <c r="I3" s="12"/>
      <c r="J3" s="12"/>
      <c r="K3" s="12"/>
      <c r="L3" s="12"/>
      <c r="M3" s="12"/>
    </row>
    <row r="4" spans="2:13" x14ac:dyDescent="0.35">
      <c r="B4" s="6" t="s">
        <v>656</v>
      </c>
      <c r="C4" s="6" t="s">
        <v>657</v>
      </c>
      <c r="D4" s="6" t="s">
        <v>658</v>
      </c>
      <c r="E4" s="6" t="s">
        <v>659</v>
      </c>
    </row>
    <row r="5" spans="2:13" x14ac:dyDescent="0.35">
      <c r="B5" s="2" t="s">
        <v>660</v>
      </c>
      <c r="C5" s="2" t="s">
        <v>672</v>
      </c>
      <c r="D5" s="7" t="s">
        <v>674</v>
      </c>
      <c r="E5" s="2" t="s">
        <v>675</v>
      </c>
    </row>
    <row r="6" spans="2:13" x14ac:dyDescent="0.35">
      <c r="B6" s="2" t="s">
        <v>661</v>
      </c>
      <c r="C6" s="2" t="s">
        <v>673</v>
      </c>
      <c r="D6" s="7" t="s">
        <v>674</v>
      </c>
      <c r="E6" s="2" t="s">
        <v>676</v>
      </c>
    </row>
    <row r="7" spans="2:13" x14ac:dyDescent="0.35">
      <c r="B7" s="2" t="s">
        <v>662</v>
      </c>
      <c r="C7" s="2" t="s">
        <v>672</v>
      </c>
      <c r="D7" s="7" t="s">
        <v>674</v>
      </c>
      <c r="E7" s="2" t="s">
        <v>677</v>
      </c>
    </row>
    <row r="8" spans="2:13" x14ac:dyDescent="0.35">
      <c r="B8" s="2" t="s">
        <v>663</v>
      </c>
      <c r="C8" s="2" t="s">
        <v>672</v>
      </c>
      <c r="D8" s="7" t="s">
        <v>674</v>
      </c>
      <c r="E8" s="2" t="s">
        <v>678</v>
      </c>
    </row>
    <row r="9" spans="2:13" x14ac:dyDescent="0.35">
      <c r="B9" s="2" t="s">
        <v>664</v>
      </c>
      <c r="C9" s="2" t="s">
        <v>673</v>
      </c>
      <c r="D9" s="7" t="s">
        <v>674</v>
      </c>
      <c r="E9" s="2" t="s">
        <v>679</v>
      </c>
    </row>
    <row r="10" spans="2:13" x14ac:dyDescent="0.35">
      <c r="B10" s="2" t="s">
        <v>665</v>
      </c>
      <c r="C10" s="2" t="s">
        <v>672</v>
      </c>
      <c r="D10" s="7" t="s">
        <v>674</v>
      </c>
      <c r="E10" s="2" t="s">
        <v>680</v>
      </c>
    </row>
    <row r="11" spans="2:13" x14ac:dyDescent="0.35">
      <c r="B11" s="2" t="s">
        <v>666</v>
      </c>
      <c r="C11" s="2" t="s">
        <v>673</v>
      </c>
      <c r="D11" s="7" t="s">
        <v>674</v>
      </c>
      <c r="E11" s="2" t="s">
        <v>681</v>
      </c>
    </row>
    <row r="12" spans="2:13" x14ac:dyDescent="0.35">
      <c r="B12" s="2" t="s">
        <v>667</v>
      </c>
      <c r="C12" s="2" t="s">
        <v>672</v>
      </c>
      <c r="D12" s="7" t="s">
        <v>674</v>
      </c>
      <c r="E12" s="2" t="s">
        <v>682</v>
      </c>
    </row>
    <row r="13" spans="2:13" x14ac:dyDescent="0.35">
      <c r="B13" s="2" t="s">
        <v>668</v>
      </c>
      <c r="C13" s="2" t="s">
        <v>673</v>
      </c>
      <c r="D13" s="7" t="s">
        <v>674</v>
      </c>
      <c r="E13" s="2" t="s">
        <v>683</v>
      </c>
    </row>
    <row r="14" spans="2:13" x14ac:dyDescent="0.35">
      <c r="B14" s="2" t="s">
        <v>669</v>
      </c>
      <c r="C14" s="2" t="s">
        <v>672</v>
      </c>
      <c r="D14" s="7" t="s">
        <v>674</v>
      </c>
      <c r="E14" s="2" t="s">
        <v>684</v>
      </c>
    </row>
    <row r="15" spans="2:13" x14ac:dyDescent="0.35">
      <c r="B15" s="2" t="s">
        <v>670</v>
      </c>
      <c r="C15" s="2" t="s">
        <v>673</v>
      </c>
      <c r="D15" s="7" t="s">
        <v>674</v>
      </c>
      <c r="E15" s="2" t="s">
        <v>685</v>
      </c>
    </row>
    <row r="16" spans="2:13" x14ac:dyDescent="0.35">
      <c r="B16" s="2" t="s">
        <v>671</v>
      </c>
      <c r="C16" s="2" t="s">
        <v>672</v>
      </c>
      <c r="D16" s="7" t="s">
        <v>674</v>
      </c>
      <c r="E16" s="2" t="s">
        <v>686</v>
      </c>
    </row>
    <row r="18" spans="2:13" ht="14.5" customHeight="1" x14ac:dyDescent="0.35">
      <c r="B18" s="27" t="s">
        <v>698</v>
      </c>
      <c r="C18" s="27"/>
      <c r="D18" s="27"/>
      <c r="E18" s="27"/>
      <c r="F18" s="27"/>
      <c r="G18" s="27"/>
      <c r="H18" s="27"/>
      <c r="I18" s="27"/>
      <c r="J18" s="27"/>
      <c r="K18" s="27"/>
      <c r="L18" s="27"/>
      <c r="M18" s="27"/>
    </row>
    <row r="19" spans="2:13" ht="14.5" customHeight="1" x14ac:dyDescent="0.35">
      <c r="B19" s="27"/>
      <c r="C19" s="27"/>
      <c r="D19" s="27"/>
      <c r="E19" s="27"/>
      <c r="F19" s="27"/>
      <c r="G19" s="27"/>
      <c r="H19" s="27"/>
      <c r="I19" s="27"/>
      <c r="J19" s="27"/>
      <c r="K19" s="27"/>
      <c r="L19" s="27"/>
      <c r="M19" s="27"/>
    </row>
    <row r="20" spans="2:13" s="13" customFormat="1" ht="14.5" customHeight="1" x14ac:dyDescent="0.75">
      <c r="B20" s="19"/>
      <c r="C20" s="19"/>
      <c r="D20" s="19"/>
      <c r="E20" s="19"/>
      <c r="F20" s="19"/>
      <c r="G20" s="19"/>
      <c r="H20" s="19"/>
      <c r="I20" s="19"/>
      <c r="J20" s="19"/>
      <c r="K20" s="19"/>
      <c r="L20" s="19"/>
      <c r="M20" s="19"/>
    </row>
    <row r="21" spans="2:13" ht="14.5" customHeight="1" x14ac:dyDescent="0.75">
      <c r="B21" s="18"/>
      <c r="C21" s="18"/>
      <c r="D21" s="18"/>
      <c r="E21" s="18"/>
      <c r="F21" s="18"/>
      <c r="G21" s="18"/>
      <c r="H21" s="18"/>
      <c r="I21" s="18"/>
      <c r="J21" s="18"/>
      <c r="K21" s="18"/>
      <c r="L21" s="18"/>
      <c r="M21" s="18"/>
    </row>
    <row r="22" spans="2:13" ht="14.5" customHeight="1" x14ac:dyDescent="0.75">
      <c r="B22" s="18"/>
      <c r="C22" s="18"/>
      <c r="D22" s="18"/>
      <c r="E22" s="18"/>
      <c r="F22" s="18"/>
      <c r="G22" s="18"/>
      <c r="H22" s="18"/>
      <c r="I22" s="18"/>
      <c r="J22" s="18"/>
      <c r="K22" s="18"/>
      <c r="L22" s="18"/>
      <c r="M22" s="18"/>
    </row>
  </sheetData>
  <mergeCells count="2">
    <mergeCell ref="B1:M2"/>
    <mergeCell ref="B18:M19"/>
  </mergeCells>
  <conditionalFormatting sqref="D5:D16">
    <cfRule type="containsText" dxfId="29" priority="1" operator="containsText" text="✓">
      <formula>NOT(ISERROR(SEARCH("✓",D5)))</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Invoice Master</vt:lpstr>
      <vt:lpstr>Supplier</vt:lpstr>
      <vt:lpstr>MIS Report</vt:lpstr>
      <vt:lpstr>Pivot</vt:lpstr>
      <vt:lpstr>KPI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Palak ..</dc:creator>
  <cp:lastModifiedBy>Palak ..</cp:lastModifiedBy>
  <dcterms:created xsi:type="dcterms:W3CDTF">2026-03-14T11:40:38Z</dcterms:created>
  <dcterms:modified xsi:type="dcterms:W3CDTF">2026-03-15T06:07:08Z</dcterms:modified>
</cp:coreProperties>
</file>